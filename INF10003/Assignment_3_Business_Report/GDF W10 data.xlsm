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Pro\Documents\Swinburne\INF10003\Assignment 3\"/>
    </mc:Choice>
  </mc:AlternateContent>
  <xr:revisionPtr revIDLastSave="0" documentId="13_ncr:1_{35C77E82-99BE-4B76-B808-15AAACEEFAF9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 1" sheetId="1" r:id="rId1"/>
  </sheet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13" i="1" l="1"/>
  <c r="Q14" i="1"/>
  <c r="P10" i="1"/>
  <c r="Q10" i="1" s="1"/>
  <c r="P11" i="1"/>
  <c r="F31" i="1" s="1"/>
  <c r="G31" i="1" s="1"/>
  <c r="P12" i="1"/>
  <c r="F53" i="1" s="1"/>
  <c r="G53" i="1" s="1"/>
  <c r="P13" i="1"/>
  <c r="F38" i="1" s="1"/>
  <c r="G38" i="1" s="1"/>
  <c r="P14" i="1"/>
  <c r="P15" i="1"/>
  <c r="Q15" i="1" s="1"/>
  <c r="P16" i="1"/>
  <c r="Q16" i="1" s="1"/>
  <c r="P9" i="1"/>
  <c r="L39" i="1"/>
  <c r="U11" i="1"/>
  <c r="V11" i="1" s="1"/>
  <c r="F5" i="1"/>
  <c r="G5" i="1" s="1"/>
  <c r="F41" i="1"/>
  <c r="G41" i="1" s="1"/>
  <c r="F21" i="1"/>
  <c r="G21" i="1" s="1"/>
  <c r="F8" i="1"/>
  <c r="G8" i="1" s="1"/>
  <c r="F43" i="1"/>
  <c r="G43" i="1" s="1"/>
  <c r="F25" i="1"/>
  <c r="G25" i="1" s="1"/>
  <c r="F13" i="1"/>
  <c r="G13" i="1" s="1"/>
  <c r="F6" i="1"/>
  <c r="G6" i="1" s="1"/>
  <c r="F22" i="1"/>
  <c r="G22" i="1" s="1"/>
  <c r="F34" i="1"/>
  <c r="G34" i="1" s="1"/>
  <c r="F9" i="1"/>
  <c r="G9" i="1" s="1"/>
  <c r="F27" i="1"/>
  <c r="G27" i="1" s="1"/>
  <c r="F26" i="1"/>
  <c r="G26" i="1" s="1"/>
  <c r="F14" i="1"/>
  <c r="G14" i="1" s="1"/>
  <c r="F18" i="1"/>
  <c r="G18" i="1" s="1"/>
  <c r="F37" i="1"/>
  <c r="G37" i="1" s="1"/>
  <c r="F29" i="1"/>
  <c r="G29" i="1" s="1"/>
  <c r="F44" i="1"/>
  <c r="G44" i="1" s="1"/>
  <c r="F16" i="1"/>
  <c r="G16" i="1" s="1"/>
  <c r="F46" i="1"/>
  <c r="G46" i="1" s="1"/>
  <c r="F47" i="1"/>
  <c r="G47" i="1" s="1"/>
  <c r="F19" i="1"/>
  <c r="G19" i="1" s="1"/>
  <c r="F23" i="1"/>
  <c r="G23" i="1" s="1"/>
  <c r="F10" i="1"/>
  <c r="G10" i="1" s="1"/>
  <c r="F52" i="1"/>
  <c r="G52" i="1" s="1"/>
  <c r="F15" i="1"/>
  <c r="G15" i="1" s="1"/>
  <c r="F33" i="1"/>
  <c r="G33" i="1" s="1"/>
  <c r="F7" i="1"/>
  <c r="G7" i="1" s="1"/>
  <c r="F42" i="1"/>
  <c r="G42" i="1" s="1"/>
  <c r="F24" i="1"/>
  <c r="G24" i="1" s="1"/>
  <c r="F39" i="1"/>
  <c r="G39" i="1" s="1"/>
  <c r="F45" i="1"/>
  <c r="G45" i="1" s="1"/>
  <c r="F40" i="1"/>
  <c r="G40" i="1" s="1"/>
  <c r="F11" i="1"/>
  <c r="G11" i="1" s="1"/>
  <c r="F32" i="1"/>
  <c r="G32" i="1" s="1"/>
  <c r="F54" i="1"/>
  <c r="G54" i="1" s="1"/>
  <c r="F36" i="1"/>
  <c r="G36" i="1" s="1"/>
  <c r="F17" i="1"/>
  <c r="G17" i="1" s="1"/>
  <c r="F20" i="1"/>
  <c r="G20" i="1" s="1"/>
  <c r="F30" i="1"/>
  <c r="G30" i="1" s="1"/>
  <c r="F12" i="1"/>
  <c r="G12" i="1" s="1"/>
  <c r="F28" i="1"/>
  <c r="G28" i="1" s="1"/>
  <c r="F35" i="1"/>
  <c r="G35" i="1" s="1"/>
  <c r="C35" i="1"/>
  <c r="D35" i="1" s="1"/>
  <c r="Q9" i="1"/>
  <c r="Q12" i="1" l="1"/>
  <c r="Q11" i="1"/>
  <c r="F49" i="1"/>
  <c r="G49" i="1" s="1"/>
  <c r="F51" i="1"/>
  <c r="G51" i="1" s="1"/>
  <c r="F48" i="1"/>
  <c r="G48" i="1" s="1"/>
  <c r="F50" i="1"/>
  <c r="G50" i="1" s="1"/>
  <c r="N10" i="1"/>
  <c r="N11" i="1"/>
  <c r="N12" i="1"/>
  <c r="N13" i="1"/>
  <c r="N14" i="1"/>
  <c r="N15" i="1"/>
  <c r="N16" i="1"/>
  <c r="N9" i="1"/>
  <c r="U13" i="1" l="1"/>
  <c r="V13" i="1" s="1"/>
  <c r="U14" i="1"/>
  <c r="V14" i="1" s="1"/>
  <c r="U12" i="1"/>
  <c r="V12" i="1" s="1"/>
  <c r="V15" i="1" l="1"/>
  <c r="U15" i="1"/>
  <c r="C12" i="1"/>
  <c r="D12" i="1" s="1"/>
  <c r="C20" i="1"/>
  <c r="D20" i="1" s="1"/>
  <c r="C48" i="1"/>
  <c r="D48" i="1" s="1"/>
  <c r="C53" i="1"/>
  <c r="D53" i="1" s="1"/>
  <c r="C30" i="1"/>
  <c r="D30" i="1" s="1"/>
  <c r="C11" i="1"/>
  <c r="D11" i="1" s="1"/>
  <c r="C17" i="1"/>
  <c r="D17" i="1" s="1"/>
  <c r="C36" i="1"/>
  <c r="D36" i="1" s="1"/>
  <c r="C40" i="1"/>
  <c r="D40" i="1" s="1"/>
  <c r="C45" i="1"/>
  <c r="D45" i="1" s="1"/>
  <c r="C54" i="1"/>
  <c r="D54" i="1" s="1"/>
  <c r="C32" i="1"/>
  <c r="D32" i="1" s="1"/>
  <c r="C7" i="1"/>
  <c r="D7" i="1" s="1"/>
  <c r="C15" i="1"/>
  <c r="D15" i="1" s="1"/>
  <c r="C33" i="1"/>
  <c r="D33" i="1" s="1"/>
  <c r="C39" i="1"/>
  <c r="D39" i="1" s="1"/>
  <c r="C24" i="1"/>
  <c r="D24" i="1" s="1"/>
  <c r="C42" i="1"/>
  <c r="D42" i="1" s="1"/>
  <c r="C50" i="1"/>
  <c r="D50" i="1" s="1"/>
  <c r="C52" i="1"/>
  <c r="D52" i="1" s="1"/>
  <c r="C10" i="1"/>
  <c r="D10" i="1" s="1"/>
  <c r="C38" i="1"/>
  <c r="D38" i="1" s="1"/>
  <c r="C23" i="1"/>
  <c r="D23" i="1" s="1"/>
  <c r="C19" i="1"/>
  <c r="D19" i="1" s="1"/>
  <c r="C47" i="1"/>
  <c r="D47" i="1" s="1"/>
  <c r="C46" i="1"/>
  <c r="D46" i="1" s="1"/>
  <c r="C51" i="1"/>
  <c r="D51" i="1" s="1"/>
  <c r="C31" i="1"/>
  <c r="C16" i="1"/>
  <c r="D16" i="1" s="1"/>
  <c r="C14" i="1"/>
  <c r="D14" i="1" s="1"/>
  <c r="C37" i="1"/>
  <c r="D37" i="1" s="1"/>
  <c r="C18" i="1"/>
  <c r="D18" i="1" s="1"/>
  <c r="C26" i="1"/>
  <c r="D26" i="1" s="1"/>
  <c r="C44" i="1"/>
  <c r="D44" i="1" s="1"/>
  <c r="C29" i="1"/>
  <c r="D29" i="1" s="1"/>
  <c r="C6" i="1"/>
  <c r="D6" i="1" s="1"/>
  <c r="C13" i="1"/>
  <c r="D13" i="1" s="1"/>
  <c r="C22" i="1"/>
  <c r="D22" i="1" s="1"/>
  <c r="C25" i="1"/>
  <c r="D25" i="1" s="1"/>
  <c r="C9" i="1"/>
  <c r="D9" i="1" s="1"/>
  <c r="C34" i="1"/>
  <c r="D34" i="1" s="1"/>
  <c r="C27" i="1"/>
  <c r="D27" i="1" s="1"/>
  <c r="C43" i="1"/>
  <c r="D43" i="1" s="1"/>
  <c r="C5" i="1"/>
  <c r="C21" i="1"/>
  <c r="D21" i="1" s="1"/>
  <c r="C41" i="1"/>
  <c r="D41" i="1" s="1"/>
  <c r="C49" i="1"/>
  <c r="D49" i="1" s="1"/>
  <c r="C28" i="1"/>
  <c r="D28" i="1" s="1"/>
  <c r="C8" i="1"/>
  <c r="D8" i="1" s="1"/>
  <c r="D31" i="1" l="1"/>
  <c r="D5" i="1"/>
  <c r="M37" i="1" s="1"/>
  <c r="N37" i="1" s="1"/>
  <c r="T15" i="1"/>
  <c r="M32" i="1" l="1"/>
  <c r="N32" i="1" s="1"/>
  <c r="M38" i="1"/>
  <c r="N38" i="1" s="1"/>
  <c r="M35" i="1"/>
  <c r="N35" i="1" s="1"/>
  <c r="M33" i="1"/>
  <c r="N33" i="1" s="1"/>
  <c r="M36" i="1"/>
  <c r="N36" i="1" s="1"/>
  <c r="M34" i="1"/>
  <c r="N34" i="1" s="1"/>
  <c r="M31" i="1"/>
  <c r="N31" i="1" s="1"/>
  <c r="N39" i="1" l="1"/>
  <c r="M3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Nelson Vargas</author>
    <author>Rob Baxendale</author>
  </authors>
  <commentList>
    <comment ref="M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button has the macro created but not yet assigned to the button. Assign the macro to the button. Hint: Right mouse button click on the button.</t>
        </r>
      </text>
    </comment>
    <comment ref="O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For this button you will need to create the macro - assign the macro and rename the button to the actual function</t>
        </r>
      </text>
    </comment>
    <comment ref="A4" authorId="1" shapeId="0" xr:uid="{95826BFE-CAEF-41A0-B060-76D8B70D49D6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Client has requested Vlookup formrulas be used in this table</t>
        </r>
      </text>
    </comment>
    <comment ref="D4" authorId="1" shapeId="0" xr:uid="{9CE5E2D8-B7EE-432C-B2D4-B55BFD17E6C5}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 xml:space="preserve">Vlookup.
=VLOOKUP(Product code,reference table,column ,FALSE)*no of units per carton.
Use the formula in the previous cell as a reference.
</t>
        </r>
      </text>
    </comment>
    <comment ref="F4" authorId="1" shapeId="0" xr:uid="{F458B2CA-C185-4144-9104-4270EB973882}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Vlookup formulae required. Consider the following hint.
=VLOOKUP(Product Code,Reference Table - Milk Products Table, Which Colum  ref from the table,FALSE)</t>
        </r>
      </text>
    </comment>
    <comment ref="I7" authorId="1" shapeId="0" xr:uid="{D89C83A6-EB52-44C7-9A42-326B561B6C87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Client has requested Sum formrulas be used in this table</t>
        </r>
      </text>
    </comment>
    <comment ref="K29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for every 1 litre of raw unprocessed milk to make 1 litre of processed final product.
</t>
        </r>
      </text>
    </comment>
    <comment ref="M29" authorId="1" shapeId="0" xr:uid="{A4DD1955-900A-40EA-B7F3-AE12F541C8D8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Client has requested a countif formrula be used here</t>
        </r>
      </text>
    </comment>
  </commentList>
</comments>
</file>

<file path=xl/sharedStrings.xml><?xml version="1.0" encoding="utf-8"?>
<sst xmlns="http://schemas.openxmlformats.org/spreadsheetml/2006/main" count="180" uniqueCount="52">
  <si>
    <t xml:space="preserve"> </t>
  </si>
  <si>
    <t>Totals</t>
  </si>
  <si>
    <t>Product Code</t>
  </si>
  <si>
    <t>Customer</t>
  </si>
  <si>
    <t>WM</t>
  </si>
  <si>
    <t xml:space="preserve">Product Description </t>
  </si>
  <si>
    <t xml:space="preserve">Whole Milk </t>
  </si>
  <si>
    <t>RF</t>
  </si>
  <si>
    <t>Reduce Fat Milk</t>
  </si>
  <si>
    <t>A2</t>
  </si>
  <si>
    <t>Special Milk</t>
  </si>
  <si>
    <t>Flavoured Milk</t>
  </si>
  <si>
    <t>LF</t>
  </si>
  <si>
    <t>Lactose Free Milk</t>
  </si>
  <si>
    <t>Unit Packaging (Litre)</t>
  </si>
  <si>
    <t>OM</t>
  </si>
  <si>
    <t>Organic Milk</t>
  </si>
  <si>
    <t>SM</t>
  </si>
  <si>
    <t>Skim milk</t>
  </si>
  <si>
    <t>UHT Milk</t>
  </si>
  <si>
    <t>UM</t>
  </si>
  <si>
    <t>FM</t>
  </si>
  <si>
    <t>Units per Crate/Carton</t>
  </si>
  <si>
    <t>Wholesale Cost per Unit</t>
  </si>
  <si>
    <t>Customers</t>
  </si>
  <si>
    <t>7eleven</t>
  </si>
  <si>
    <t>Total No# Sales</t>
  </si>
  <si>
    <t>Equiv Litres per crate/carton.</t>
  </si>
  <si>
    <t>Retail Sale Price Per Unit</t>
  </si>
  <si>
    <t>No. units per crate/carton</t>
  </si>
  <si>
    <t>Ordering raw data</t>
  </si>
  <si>
    <t>Customers Specific % price premiums</t>
  </si>
  <si>
    <t>Supplier % Overhead costs</t>
  </si>
  <si>
    <t>Supplier Price Per Unit</t>
  </si>
  <si>
    <t>Supplier Price Per Crate/Carton</t>
  </si>
  <si>
    <t>Milk production - Overall litres (past, present and projected future)</t>
  </si>
  <si>
    <t>Raw to processed  ratio</t>
  </si>
  <si>
    <t>Raw Data | User Controls</t>
  </si>
  <si>
    <t>Date of Order (W2)</t>
  </si>
  <si>
    <t>Coles Express</t>
  </si>
  <si>
    <t>Uncle Bob's milkbar</t>
  </si>
  <si>
    <t>BP</t>
  </si>
  <si>
    <t>Litres Ordered (W10-2019)</t>
  </si>
  <si>
    <t>Litres Ordered (W10-2020)</t>
  </si>
  <si>
    <t>Projected Litres   (W10-2021)</t>
  </si>
  <si>
    <t>Projected 2021 Increase %</t>
  </si>
  <si>
    <t>Total Orders 2019 (W10)</t>
  </si>
  <si>
    <t>Total Orders 2020 (W10)</t>
  </si>
  <si>
    <t>Total Orders 2021 (W10)</t>
  </si>
  <si>
    <t>Milk ORDERS Over Week 10 (March 2-8)2020</t>
  </si>
  <si>
    <t>Milk Products (Supplier)</t>
  </si>
  <si>
    <t>Customer Orders (week 10) review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</si>
</sst>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.00_-;\-&quot;$&quot;* #,##0.00_-;_-&quot;$&quot;* &quot;-&quot;??_-;_-@_-"/>
    <numFmt numFmtId="165" formatCode="0.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FF0000"/>
      <name val="Arial"/>
      <family val="2"/>
      <charset val="161"/>
    </font>
    <font>
      <sz val="10"/>
      <color rgb="FFFF0000"/>
      <name val="Arial"/>
      <family val="2"/>
      <charset val="161"/>
    </font>
    <font>
      <b/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b/>
      <sz val="9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36">
    <xf numFmtId="0" fontId="0" fillId="0" borderId="0" xfId="0"/>
    <xf numFmtId="0" fontId="0" fillId="0" borderId="0" xfId="0" applyAlignment="1">
      <alignment horizontal="center"/>
    </xf>
    <xf numFmtId="0" fontId="5" fillId="0" borderId="0" xfId="0" applyFont="1"/>
    <xf numFmtId="0" fontId="5" fillId="0" borderId="0" xfId="0" applyFont="1" applyAlignment="1">
      <alignment vertical="top" wrapText="1"/>
    </xf>
    <xf numFmtId="0" fontId="4" fillId="0" borderId="0" xfId="0" applyFont="1"/>
    <xf numFmtId="0" fontId="4" fillId="0" borderId="0" xfId="0" applyFont="1" applyAlignment="1">
      <alignment horizontal="center"/>
    </xf>
    <xf numFmtId="164" fontId="5" fillId="0" borderId="0" xfId="1" applyFont="1"/>
    <xf numFmtId="164" fontId="5" fillId="0" borderId="0" xfId="1" applyFont="1" applyAlignment="1">
      <alignment vertical="top" wrapText="1"/>
    </xf>
    <xf numFmtId="0" fontId="4" fillId="0" borderId="0" xfId="1" applyNumberFormat="1" applyFont="1"/>
    <xf numFmtId="0" fontId="4" fillId="3" borderId="1" xfId="0" applyFont="1" applyFill="1" applyBorder="1" applyAlignment="1">
      <alignment horizontal="center" wrapText="1"/>
    </xf>
    <xf numFmtId="0" fontId="6" fillId="0" borderId="1" xfId="0" applyFont="1" applyBorder="1"/>
    <xf numFmtId="0" fontId="8" fillId="0" borderId="0" xfId="0" applyFont="1"/>
    <xf numFmtId="164" fontId="6" fillId="0" borderId="0" xfId="1" applyFont="1"/>
    <xf numFmtId="0" fontId="6" fillId="0" borderId="0" xfId="1" applyNumberFormat="1" applyFont="1" applyAlignment="1">
      <alignment horizontal="center"/>
    </xf>
    <xf numFmtId="0" fontId="6" fillId="0" borderId="0" xfId="0" applyFont="1" applyAlignment="1">
      <alignment horizontal="center"/>
    </xf>
    <xf numFmtId="164" fontId="6" fillId="0" borderId="0" xfId="1" applyFont="1" applyAlignment="1">
      <alignment horizontal="center"/>
    </xf>
    <xf numFmtId="165" fontId="6" fillId="0" borderId="0" xfId="1" applyNumberFormat="1" applyFont="1" applyAlignment="1">
      <alignment horizontal="center"/>
    </xf>
    <xf numFmtId="0" fontId="4" fillId="0" borderId="0" xfId="0" applyFont="1" applyAlignment="1">
      <alignment horizontal="left"/>
    </xf>
    <xf numFmtId="0" fontId="6" fillId="0" borderId="0" xfId="0" applyFont="1"/>
    <xf numFmtId="0" fontId="9" fillId="0" borderId="0" xfId="0" applyFont="1"/>
    <xf numFmtId="0" fontId="7" fillId="0" borderId="0" xfId="0" applyFont="1"/>
    <xf numFmtId="0" fontId="0" fillId="0" borderId="0" xfId="0" applyAlignment="1">
      <alignment wrapText="1"/>
    </xf>
    <xf numFmtId="0" fontId="9" fillId="3" borderId="1" xfId="0" applyFont="1" applyFill="1" applyBorder="1" applyAlignment="1">
      <alignment horizontal="center" wrapText="1"/>
    </xf>
    <xf numFmtId="0" fontId="0" fillId="0" borderId="1" xfId="0" applyBorder="1"/>
    <xf numFmtId="0" fontId="6" fillId="0" borderId="1" xfId="1" applyNumberFormat="1" applyFont="1" applyBorder="1" applyAlignment="1">
      <alignment horizontal="center"/>
    </xf>
    <xf numFmtId="0" fontId="6" fillId="0" borderId="0" xfId="1" applyNumberFormat="1" applyFont="1"/>
    <xf numFmtId="0" fontId="6" fillId="0" borderId="1" xfId="0" applyFont="1" applyBorder="1" applyAlignment="1">
      <alignment horizontal="left"/>
    </xf>
    <xf numFmtId="164" fontId="0" fillId="0" borderId="1" xfId="1" applyFont="1" applyBorder="1" applyAlignment="1">
      <alignment wrapText="1"/>
    </xf>
    <xf numFmtId="0" fontId="0" fillId="0" borderId="1" xfId="0" applyBorder="1" applyAlignment="1">
      <alignment wrapText="1"/>
    </xf>
    <xf numFmtId="0" fontId="6" fillId="7" borderId="1" xfId="1" applyNumberFormat="1" applyFont="1" applyFill="1" applyBorder="1" applyAlignment="1">
      <alignment horizontal="center"/>
    </xf>
    <xf numFmtId="164" fontId="0" fillId="0" borderId="0" xfId="0" applyNumberFormat="1"/>
    <xf numFmtId="164" fontId="6" fillId="7" borderId="1" xfId="1" applyFont="1" applyFill="1" applyBorder="1"/>
    <xf numFmtId="0" fontId="6" fillId="0" borderId="1" xfId="1" applyNumberFormat="1" applyFont="1" applyBorder="1"/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164" fontId="6" fillId="7" borderId="2" xfId="1" applyFont="1" applyFill="1" applyBorder="1"/>
    <xf numFmtId="0" fontId="10" fillId="0" borderId="3" xfId="0" applyFont="1" applyBorder="1"/>
    <xf numFmtId="0" fontId="6" fillId="0" borderId="3" xfId="0" applyFont="1" applyBorder="1"/>
    <xf numFmtId="0" fontId="0" fillId="0" borderId="3" xfId="0" applyBorder="1"/>
    <xf numFmtId="0" fontId="9" fillId="5" borderId="20" xfId="0" applyFont="1" applyFill="1" applyBorder="1"/>
    <xf numFmtId="0" fontId="9" fillId="5" borderId="21" xfId="0" applyFont="1" applyFill="1" applyBorder="1"/>
    <xf numFmtId="164" fontId="9" fillId="5" borderId="21" xfId="0" applyNumberFormat="1" applyFont="1" applyFill="1" applyBorder="1"/>
    <xf numFmtId="0" fontId="0" fillId="0" borderId="21" xfId="0" applyBorder="1"/>
    <xf numFmtId="164" fontId="6" fillId="7" borderId="19" xfId="1" applyFont="1" applyFill="1" applyBorder="1"/>
    <xf numFmtId="9" fontId="0" fillId="0" borderId="0" xfId="0" applyNumberFormat="1"/>
    <xf numFmtId="0" fontId="0" fillId="9" borderId="30" xfId="0" applyFill="1" applyBorder="1" applyAlignment="1">
      <alignment horizontal="center"/>
    </xf>
    <xf numFmtId="0" fontId="0" fillId="9" borderId="31" xfId="0" applyFill="1" applyBorder="1"/>
    <xf numFmtId="0" fontId="2" fillId="9" borderId="31" xfId="0" applyFont="1" applyFill="1" applyBorder="1" applyAlignment="1">
      <alignment horizontal="center" wrapText="1"/>
    </xf>
    <xf numFmtId="9" fontId="3" fillId="9" borderId="31" xfId="0" applyNumberFormat="1" applyFont="1" applyFill="1" applyBorder="1" applyAlignment="1">
      <alignment horizontal="center"/>
    </xf>
    <xf numFmtId="0" fontId="0" fillId="9" borderId="32" xfId="0" applyFill="1" applyBorder="1"/>
    <xf numFmtId="0" fontId="0" fillId="9" borderId="33" xfId="0" applyFill="1" applyBorder="1"/>
    <xf numFmtId="0" fontId="2" fillId="9" borderId="34" xfId="0" applyFont="1" applyFill="1" applyBorder="1" applyAlignment="1">
      <alignment horizontal="center" wrapText="1"/>
    </xf>
    <xf numFmtId="9" fontId="3" fillId="9" borderId="34" xfId="0" applyNumberFormat="1" applyFont="1" applyFill="1" applyBorder="1" applyAlignment="1">
      <alignment horizontal="center"/>
    </xf>
    <xf numFmtId="0" fontId="0" fillId="9" borderId="34" xfId="0" applyFill="1" applyBorder="1"/>
    <xf numFmtId="0" fontId="0" fillId="9" borderId="35" xfId="0" applyFill="1" applyBorder="1"/>
    <xf numFmtId="9" fontId="0" fillId="0" borderId="1" xfId="2" applyFont="1" applyBorder="1"/>
    <xf numFmtId="164" fontId="0" fillId="0" borderId="13" xfId="1" applyFont="1" applyBorder="1" applyAlignment="1">
      <alignment wrapText="1"/>
    </xf>
    <xf numFmtId="0" fontId="9" fillId="3" borderId="1" xfId="0" applyFont="1" applyFill="1" applyBorder="1" applyAlignment="1">
      <alignment wrapText="1"/>
    </xf>
    <xf numFmtId="14" fontId="0" fillId="0" borderId="1" xfId="0" applyNumberFormat="1" applyBorder="1"/>
    <xf numFmtId="2" fontId="6" fillId="0" borderId="1" xfId="0" applyNumberFormat="1" applyFont="1" applyBorder="1"/>
    <xf numFmtId="165" fontId="0" fillId="0" borderId="0" xfId="0" applyNumberFormat="1"/>
    <xf numFmtId="0" fontId="0" fillId="0" borderId="20" xfId="0" applyBorder="1"/>
    <xf numFmtId="0" fontId="9" fillId="0" borderId="21" xfId="0" applyFont="1" applyBorder="1" applyAlignment="1">
      <alignment horizontal="right"/>
    </xf>
    <xf numFmtId="165" fontId="6" fillId="7" borderId="2" xfId="1" applyNumberFormat="1" applyFont="1" applyFill="1" applyBorder="1"/>
    <xf numFmtId="165" fontId="0" fillId="7" borderId="19" xfId="0" applyNumberFormat="1" applyFill="1" applyBorder="1"/>
    <xf numFmtId="2" fontId="0" fillId="0" borderId="22" xfId="0" applyNumberFormat="1" applyBorder="1"/>
    <xf numFmtId="2" fontId="0" fillId="0" borderId="23" xfId="0" applyNumberFormat="1" applyBorder="1"/>
    <xf numFmtId="0" fontId="0" fillId="0" borderId="5" xfId="0" applyBorder="1" applyAlignment="1">
      <alignment horizontal="center"/>
    </xf>
    <xf numFmtId="0" fontId="6" fillId="0" borderId="5" xfId="1" applyNumberFormat="1" applyFont="1" applyBorder="1" applyAlignment="1">
      <alignment horizontal="center"/>
    </xf>
    <xf numFmtId="0" fontId="7" fillId="0" borderId="20" xfId="1" applyNumberFormat="1" applyFont="1" applyBorder="1"/>
    <xf numFmtId="0" fontId="7" fillId="0" borderId="21" xfId="0" applyFont="1" applyBorder="1" applyAlignment="1">
      <alignment horizontal="center"/>
    </xf>
    <xf numFmtId="0" fontId="7" fillId="0" borderId="21" xfId="1" applyNumberFormat="1" applyFont="1" applyBorder="1" applyAlignment="1">
      <alignment horizontal="center"/>
    </xf>
    <xf numFmtId="0" fontId="9" fillId="10" borderId="0" xfId="0" applyFont="1" applyFill="1" applyAlignment="1">
      <alignment wrapText="1"/>
    </xf>
    <xf numFmtId="0" fontId="0" fillId="0" borderId="12" xfId="0" applyFill="1" applyBorder="1" applyAlignment="1">
      <alignment horizontal="left"/>
    </xf>
    <xf numFmtId="0" fontId="0" fillId="0" borderId="12" xfId="0" applyFill="1" applyBorder="1"/>
    <xf numFmtId="0" fontId="0" fillId="0" borderId="1" xfId="0" applyFill="1" applyBorder="1" applyAlignment="1">
      <alignment horizontal="right"/>
    </xf>
    <xf numFmtId="164" fontId="0" fillId="0" borderId="2" xfId="2" applyNumberFormat="1" applyFont="1" applyFill="1" applyBorder="1"/>
    <xf numFmtId="164" fontId="0" fillId="0" borderId="14" xfId="2" applyNumberFormat="1" applyFont="1" applyFill="1" applyBorder="1"/>
    <xf numFmtId="0" fontId="0" fillId="0" borderId="14" xfId="0" applyFill="1" applyBorder="1" applyAlignment="1">
      <alignment horizontal="right"/>
    </xf>
    <xf numFmtId="9" fontId="0" fillId="0" borderId="2" xfId="2" applyFont="1" applyFill="1" applyBorder="1"/>
    <xf numFmtId="9" fontId="0" fillId="0" borderId="14" xfId="2" applyFont="1" applyFill="1" applyBorder="1"/>
    <xf numFmtId="9" fontId="0" fillId="0" borderId="13" xfId="2" applyFont="1" applyFill="1" applyBorder="1"/>
    <xf numFmtId="0" fontId="6" fillId="0" borderId="1" xfId="1" applyNumberFormat="1" applyFont="1" applyFill="1" applyBorder="1"/>
    <xf numFmtId="164" fontId="6" fillId="0" borderId="1" xfId="1" applyFont="1" applyFill="1" applyBorder="1"/>
    <xf numFmtId="0" fontId="6" fillId="0" borderId="4" xfId="1" applyNumberFormat="1" applyFont="1" applyFill="1" applyBorder="1"/>
    <xf numFmtId="0" fontId="6" fillId="0" borderId="3" xfId="0" applyFont="1" applyFill="1" applyBorder="1"/>
    <xf numFmtId="0" fontId="6" fillId="0" borderId="3" xfId="1" applyNumberFormat="1" applyFont="1" applyFill="1" applyBorder="1"/>
    <xf numFmtId="0" fontId="9" fillId="0" borderId="17" xfId="0" applyFont="1" applyFill="1" applyBorder="1" applyAlignment="1">
      <alignment horizontal="center"/>
    </xf>
    <xf numFmtId="1" fontId="6" fillId="7" borderId="18" xfId="1" applyNumberFormat="1" applyFont="1" applyFill="1" applyBorder="1" applyAlignment="1">
      <alignment horizontal="center"/>
    </xf>
    <xf numFmtId="1" fontId="7" fillId="0" borderId="21" xfId="1" applyNumberFormat="1" applyFont="1" applyBorder="1" applyAlignment="1">
      <alignment horizontal="center"/>
    </xf>
    <xf numFmtId="164" fontId="9" fillId="10" borderId="21" xfId="0" applyNumberFormat="1" applyFont="1" applyFill="1" applyBorder="1"/>
    <xf numFmtId="0" fontId="0" fillId="0" borderId="13" xfId="0" applyBorder="1" applyAlignment="1">
      <alignment horizontal="left" wrapText="1"/>
    </xf>
    <xf numFmtId="0" fontId="9" fillId="9" borderId="25" xfId="0" applyFont="1" applyFill="1" applyBorder="1" applyAlignment="1">
      <alignment horizontal="center"/>
    </xf>
    <xf numFmtId="0" fontId="9" fillId="9" borderId="27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9" fillId="8" borderId="25" xfId="0" applyFont="1" applyFill="1" applyBorder="1" applyAlignment="1">
      <alignment horizontal="center"/>
    </xf>
    <xf numFmtId="0" fontId="9" fillId="8" borderId="26" xfId="0" applyFont="1" applyFill="1" applyBorder="1" applyAlignment="1">
      <alignment horizontal="center"/>
    </xf>
    <xf numFmtId="0" fontId="9" fillId="8" borderId="27" xfId="0" applyFont="1" applyFill="1" applyBorder="1" applyAlignment="1">
      <alignment horizontal="center"/>
    </xf>
    <xf numFmtId="0" fontId="4" fillId="8" borderId="4" xfId="0" applyFont="1" applyFill="1" applyBorder="1" applyAlignment="1">
      <alignment horizontal="center" wrapText="1"/>
    </xf>
    <xf numFmtId="0" fontId="4" fillId="8" borderId="3" xfId="0" applyFont="1" applyFill="1" applyBorder="1" applyAlignment="1">
      <alignment horizontal="center" wrapText="1"/>
    </xf>
    <xf numFmtId="0" fontId="9" fillId="8" borderId="5" xfId="0" applyFont="1" applyFill="1" applyBorder="1" applyAlignment="1">
      <alignment horizontal="center" wrapText="1"/>
    </xf>
    <xf numFmtId="0" fontId="9" fillId="8" borderId="1" xfId="0" applyFont="1" applyFill="1" applyBorder="1" applyAlignment="1">
      <alignment horizontal="center" wrapText="1"/>
    </xf>
    <xf numFmtId="0" fontId="7" fillId="8" borderId="28" xfId="0" applyFont="1" applyFill="1" applyBorder="1" applyAlignment="1">
      <alignment horizontal="center" wrapText="1"/>
    </xf>
    <xf numFmtId="0" fontId="7" fillId="8" borderId="29" xfId="0" applyFont="1" applyFill="1" applyBorder="1" applyAlignment="1">
      <alignment horizontal="center" wrapText="1"/>
    </xf>
    <xf numFmtId="0" fontId="4" fillId="8" borderId="28" xfId="0" applyFont="1" applyFill="1" applyBorder="1" applyAlignment="1">
      <alignment horizontal="center" wrapText="1"/>
    </xf>
    <xf numFmtId="0" fontId="4" fillId="8" borderId="13" xfId="0" applyFont="1" applyFill="1" applyBorder="1" applyAlignment="1">
      <alignment horizontal="center" wrapText="1"/>
    </xf>
    <xf numFmtId="0" fontId="14" fillId="8" borderId="8" xfId="0" applyFont="1" applyFill="1" applyBorder="1" applyAlignment="1">
      <alignment horizontal="center" wrapText="1"/>
    </xf>
    <xf numFmtId="0" fontId="14" fillId="8" borderId="2" xfId="0" applyFont="1" applyFill="1" applyBorder="1" applyAlignment="1">
      <alignment horizontal="center" wrapText="1"/>
    </xf>
    <xf numFmtId="0" fontId="4" fillId="8" borderId="9" xfId="0" applyFont="1" applyFill="1" applyBorder="1" applyAlignment="1">
      <alignment horizontal="center" wrapText="1"/>
    </xf>
    <xf numFmtId="0" fontId="4" fillId="8" borderId="10" xfId="0" applyFont="1" applyFill="1" applyBorder="1" applyAlignment="1">
      <alignment horizontal="center" wrapText="1"/>
    </xf>
    <xf numFmtId="0" fontId="4" fillId="2" borderId="4" xfId="0" applyFont="1" applyFill="1" applyBorder="1" applyAlignment="1">
      <alignment horizontal="center" wrapText="1"/>
    </xf>
    <xf numFmtId="0" fontId="4" fillId="2" borderId="3" xfId="0" applyFont="1" applyFill="1" applyBorder="1" applyAlignment="1">
      <alignment horizontal="center" wrapText="1"/>
    </xf>
    <xf numFmtId="0" fontId="4" fillId="2" borderId="5" xfId="0" applyFont="1" applyFill="1" applyBorder="1" applyAlignment="1">
      <alignment horizontal="center" wrapText="1"/>
    </xf>
    <xf numFmtId="0" fontId="4" fillId="2" borderId="1" xfId="0" applyFont="1" applyFill="1" applyBorder="1" applyAlignment="1">
      <alignment horizontal="center" wrapText="1"/>
    </xf>
    <xf numFmtId="0" fontId="4" fillId="2" borderId="8" xfId="0" applyFont="1" applyFill="1" applyBorder="1" applyAlignment="1">
      <alignment horizontal="center" wrapText="1"/>
    </xf>
    <xf numFmtId="0" fontId="4" fillId="2" borderId="2" xfId="0" applyFont="1" applyFill="1" applyBorder="1" applyAlignment="1">
      <alignment horizontal="center" wrapText="1"/>
    </xf>
    <xf numFmtId="0" fontId="4" fillId="2" borderId="7" xfId="0" applyFont="1" applyFill="1" applyBorder="1" applyAlignment="1">
      <alignment horizontal="center" wrapText="1"/>
    </xf>
    <xf numFmtId="0" fontId="4" fillId="2" borderId="6" xfId="0" applyFont="1" applyFill="1" applyBorder="1" applyAlignment="1">
      <alignment horizontal="center" wrapText="1"/>
    </xf>
    <xf numFmtId="0" fontId="4" fillId="2" borderId="9" xfId="0" applyFont="1" applyFill="1" applyBorder="1" applyAlignment="1">
      <alignment horizontal="center" wrapText="1"/>
    </xf>
    <xf numFmtId="0" fontId="4" fillId="2" borderId="10" xfId="0" applyFont="1" applyFill="1" applyBorder="1" applyAlignment="1">
      <alignment horizontal="center" wrapText="1"/>
    </xf>
    <xf numFmtId="0" fontId="4" fillId="2" borderId="15" xfId="0" applyFont="1" applyFill="1" applyBorder="1" applyAlignment="1">
      <alignment horizontal="center" wrapText="1"/>
    </xf>
    <xf numFmtId="0" fontId="4" fillId="2" borderId="16" xfId="0" applyFont="1" applyFill="1" applyBorder="1" applyAlignment="1">
      <alignment horizontal="center" wrapText="1"/>
    </xf>
    <xf numFmtId="0" fontId="9" fillId="6" borderId="1" xfId="0" applyFont="1" applyFill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4" fillId="4" borderId="11" xfId="0" applyFont="1" applyFill="1" applyBorder="1" applyAlignment="1">
      <alignment horizontal="center" wrapText="1"/>
    </xf>
    <xf numFmtId="0" fontId="4" fillId="4" borderId="37" xfId="0" applyFont="1" applyFill="1" applyBorder="1" applyAlignment="1">
      <alignment horizontal="center" wrapText="1"/>
    </xf>
    <xf numFmtId="0" fontId="4" fillId="4" borderId="7" xfId="1" applyNumberFormat="1" applyFont="1" applyFill="1" applyBorder="1" applyAlignment="1">
      <alignment horizontal="center"/>
    </xf>
    <xf numFmtId="0" fontId="4" fillId="4" borderId="36" xfId="1" applyNumberFormat="1" applyFont="1" applyFill="1" applyBorder="1" applyAlignment="1">
      <alignment horizontal="center"/>
    </xf>
    <xf numFmtId="0" fontId="4" fillId="2" borderId="18" xfId="0" applyFont="1" applyFill="1" applyBorder="1" applyAlignment="1">
      <alignment horizontal="center" wrapText="1"/>
    </xf>
    <xf numFmtId="0" fontId="4" fillId="2" borderId="19" xfId="0" applyFont="1" applyFill="1" applyBorder="1" applyAlignment="1">
      <alignment horizontal="center" wrapText="1"/>
    </xf>
    <xf numFmtId="0" fontId="7" fillId="4" borderId="25" xfId="0" applyFont="1" applyFill="1" applyBorder="1" applyAlignment="1">
      <alignment horizontal="center" wrapText="1"/>
    </xf>
    <xf numFmtId="0" fontId="7" fillId="4" borderId="27" xfId="0" applyFont="1" applyFill="1" applyBorder="1" applyAlignment="1">
      <alignment horizontal="center" wrapText="1"/>
    </xf>
    <xf numFmtId="0" fontId="4" fillId="4" borderId="7" xfId="0" applyFont="1" applyFill="1" applyBorder="1" applyAlignment="1">
      <alignment horizontal="center" wrapText="1"/>
    </xf>
    <xf numFmtId="0" fontId="4" fillId="4" borderId="24" xfId="0" applyFont="1" applyFill="1" applyBorder="1" applyAlignment="1">
      <alignment horizontal="center" wrapText="1"/>
    </xf>
    <xf numFmtId="0" fontId="9" fillId="6" borderId="12" xfId="0" applyFont="1" applyFill="1" applyBorder="1" applyAlignment="1">
      <alignment horizontal="center"/>
    </xf>
    <xf numFmtId="0" fontId="9" fillId="6" borderId="13" xfId="0" applyFont="1" applyFill="1" applyBorder="1" applyAlignment="1">
      <alignment horizontal="center"/>
    </xf>
  </cellXfs>
  <cellStyles count="4">
    <cellStyle name="Currency" xfId="1" builtinId="4"/>
    <cellStyle name="Currency 2" xfId="3" xr:uid="{00000000-0005-0000-0000-00002F000000}"/>
    <cellStyle name="Normal" xfId="0" builtinId="0"/>
    <cellStyle name="Percent" xfId="2" builtinId="5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Liters ordered in 2020 by product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>
              <a:outerShdw blurRad="317500" algn="ctr" rotWithShape="0">
                <a:prstClr val="black">
                  <a:alpha val="25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0E1-4ED2-8F16-DC22D6A7FFA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0E1-4ED2-8F16-DC22D6A7FFA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0E1-4ED2-8F16-DC22D6A7FFAD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0E1-4ED2-8F16-DC22D6A7FFAD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A0E1-4ED2-8F16-DC22D6A7FFAD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A0E1-4ED2-8F16-DC22D6A7FFAD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A0E1-4ED2-8F16-DC22D6A7FFAD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A0E1-4ED2-8F16-DC22D6A7FFA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'Sheet 1'!$J$31:$J$38</c:f>
              <c:strCache>
                <c:ptCount val="8"/>
                <c:pt idx="0">
                  <c:v>Whole Milk </c:v>
                </c:pt>
                <c:pt idx="1">
                  <c:v>Reduce Fat Milk</c:v>
                </c:pt>
                <c:pt idx="2">
                  <c:v>Special Milk</c:v>
                </c:pt>
                <c:pt idx="3">
                  <c:v>Flavoured Milk</c:v>
                </c:pt>
                <c:pt idx="4">
                  <c:v>Skim milk</c:v>
                </c:pt>
                <c:pt idx="5">
                  <c:v>UHT Milk</c:v>
                </c:pt>
                <c:pt idx="6">
                  <c:v>Lactose Free Milk</c:v>
                </c:pt>
                <c:pt idx="7">
                  <c:v>Organic Milk</c:v>
                </c:pt>
              </c:strCache>
            </c:strRef>
          </c:cat>
          <c:val>
            <c:numRef>
              <c:f>'Sheet 1'!$M$31:$M$38</c:f>
              <c:numCache>
                <c:formatCode>0.0</c:formatCode>
                <c:ptCount val="8"/>
                <c:pt idx="0">
                  <c:v>615.78947368421052</c:v>
                </c:pt>
                <c:pt idx="1">
                  <c:v>450</c:v>
                </c:pt>
                <c:pt idx="2">
                  <c:v>142.10526315789474</c:v>
                </c:pt>
                <c:pt idx="3">
                  <c:v>120</c:v>
                </c:pt>
                <c:pt idx="4">
                  <c:v>205.71428571428572</c:v>
                </c:pt>
                <c:pt idx="5">
                  <c:v>144</c:v>
                </c:pt>
                <c:pt idx="6">
                  <c:v>135</c:v>
                </c:pt>
                <c:pt idx="7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27-4573-B342-CE686F5626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733422832"/>
        <c:axId val="733421520"/>
      </c:barChart>
      <c:valAx>
        <c:axId val="733421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22832"/>
        <c:crosses val="autoZero"/>
        <c:crossBetween val="between"/>
      </c:valAx>
      <c:catAx>
        <c:axId val="7334228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215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number of sales for each product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FE4-4036-851C-DD45FB8B93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FE4-4036-851C-DD45FB8B93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FE4-4036-851C-DD45FB8B93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FE4-4036-851C-DD45FB8B93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FE4-4036-851C-DD45FB8B936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5FE4-4036-851C-DD45FB8B936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5FE4-4036-851C-DD45FB8B9360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5FE4-4036-851C-DD45FB8B9360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'Sheet 1'!$J$9:$J$16</c:f>
              <c:strCache>
                <c:ptCount val="8"/>
                <c:pt idx="0">
                  <c:v>Whole Milk </c:v>
                </c:pt>
                <c:pt idx="1">
                  <c:v>Reduce Fat Milk</c:v>
                </c:pt>
                <c:pt idx="2">
                  <c:v>Special Milk</c:v>
                </c:pt>
                <c:pt idx="3">
                  <c:v>Flavoured Milk</c:v>
                </c:pt>
                <c:pt idx="4">
                  <c:v>Skim milk</c:v>
                </c:pt>
                <c:pt idx="5">
                  <c:v>UHT Milk</c:v>
                </c:pt>
                <c:pt idx="6">
                  <c:v>Lactose Free Milk</c:v>
                </c:pt>
                <c:pt idx="7">
                  <c:v>Organic Milk</c:v>
                </c:pt>
              </c:strCache>
            </c:strRef>
          </c:cat>
          <c:val>
            <c:numRef>
              <c:f>'Sheet 1'!$N$9:$N$16</c:f>
              <c:numCache>
                <c:formatCode>General</c:formatCode>
                <c:ptCount val="8"/>
                <c:pt idx="0">
                  <c:v>13</c:v>
                </c:pt>
                <c:pt idx="1">
                  <c:v>10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4</c:v>
                </c:pt>
                <c:pt idx="6">
                  <c:v>3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2D-4EA7-BAE4-3E8C2C7A05ED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customer</a:t>
            </a:r>
            <a:r>
              <a:rPr lang="en-US" baseline="0"/>
              <a:t> orders review -week 10 (2019-2021)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 Orders 2019 (W10)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'Sheet 1'!$S$11:$S$14</c:f>
              <c:strCache>
                <c:ptCount val="4"/>
                <c:pt idx="0">
                  <c:v>Coles Express</c:v>
                </c:pt>
                <c:pt idx="1">
                  <c:v>BP</c:v>
                </c:pt>
                <c:pt idx="2">
                  <c:v>7eleven</c:v>
                </c:pt>
                <c:pt idx="3">
                  <c:v>Uncle Bob's milkbar</c:v>
                </c:pt>
              </c:strCache>
            </c:strRef>
          </c:cat>
          <c:val>
            <c:numRef>
              <c:f>'Sheet 1'!$T$11:$T$14</c:f>
              <c:numCache>
                <c:formatCode>General</c:formatCode>
                <c:ptCount val="4"/>
                <c:pt idx="0">
                  <c:v>15</c:v>
                </c:pt>
                <c:pt idx="1">
                  <c:v>10</c:v>
                </c:pt>
                <c:pt idx="2">
                  <c:v>11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1D-47E3-ACB8-9203CDED432A}"/>
            </c:ext>
          </c:extLst>
        </c:ser>
        <c:ser>
          <c:idx val="1"/>
          <c:order val="1"/>
          <c:tx>
            <c:v>Total Orders 2020 (W10)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'Sheet 1'!$S$11:$S$14</c:f>
              <c:strCache>
                <c:ptCount val="4"/>
                <c:pt idx="0">
                  <c:v>Coles Express</c:v>
                </c:pt>
                <c:pt idx="1">
                  <c:v>BP</c:v>
                </c:pt>
                <c:pt idx="2">
                  <c:v>7eleven</c:v>
                </c:pt>
                <c:pt idx="3">
                  <c:v>Uncle Bob's milkbar</c:v>
                </c:pt>
              </c:strCache>
            </c:strRef>
          </c:cat>
          <c:val>
            <c:numRef>
              <c:f>'Sheet 1'!$U$11:$U$14</c:f>
              <c:numCache>
                <c:formatCode>General</c:formatCode>
                <c:ptCount val="4"/>
                <c:pt idx="0">
                  <c:v>19</c:v>
                </c:pt>
                <c:pt idx="1">
                  <c:v>12</c:v>
                </c:pt>
                <c:pt idx="2">
                  <c:v>13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1D-47E3-ACB8-9203CDED432A}"/>
            </c:ext>
          </c:extLst>
        </c:ser>
        <c:ser>
          <c:idx val="2"/>
          <c:order val="2"/>
          <c:tx>
            <c:v>Total Orders 2021 (W10)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'Sheet 1'!$S$11:$S$14</c:f>
              <c:strCache>
                <c:ptCount val="4"/>
                <c:pt idx="0">
                  <c:v>Coles Express</c:v>
                </c:pt>
                <c:pt idx="1">
                  <c:v>BP</c:v>
                </c:pt>
                <c:pt idx="2">
                  <c:v>7eleven</c:v>
                </c:pt>
                <c:pt idx="3">
                  <c:v>Uncle Bob's milkbar</c:v>
                </c:pt>
              </c:strCache>
            </c:strRef>
          </c:cat>
          <c:val>
            <c:numRef>
              <c:f>'Sheet 1'!$V$11:$V$14</c:f>
              <c:numCache>
                <c:formatCode>0</c:formatCode>
                <c:ptCount val="4"/>
                <c:pt idx="0">
                  <c:v>21.698</c:v>
                </c:pt>
                <c:pt idx="1">
                  <c:v>13.704000000000001</c:v>
                </c:pt>
                <c:pt idx="2">
                  <c:v>14.846</c:v>
                </c:pt>
                <c:pt idx="3">
                  <c:v>6.8520000000000003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1D-47E3-ACB8-9203CDED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9165560"/>
        <c:axId val="669172120"/>
      </c:barChart>
      <c:catAx>
        <c:axId val="669165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172120"/>
        <c:crosses val="autoZero"/>
        <c:auto val="1"/>
        <c:lblAlgn val="ctr"/>
        <c:lblOffset val="100"/>
        <c:noMultiLvlLbl val="0"/>
      </c:catAx>
      <c:valAx>
        <c:axId val="669172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165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2</xdr:row>
          <xdr:rowOff>121920</xdr:rowOff>
        </xdr:from>
        <xdr:to>
          <xdr:col>10</xdr:col>
          <xdr:colOff>533400</xdr:colOff>
          <xdr:row>3</xdr:row>
          <xdr:rowOff>236220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Customer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716280</xdr:colOff>
          <xdr:row>2</xdr:row>
          <xdr:rowOff>137160</xdr:rowOff>
        </xdr:from>
        <xdr:to>
          <xdr:col>11</xdr:col>
          <xdr:colOff>838200</xdr:colOff>
          <xdr:row>3</xdr:row>
          <xdr:rowOff>266700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Date old -&gt;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106680</xdr:colOff>
          <xdr:row>2</xdr:row>
          <xdr:rowOff>121920</xdr:rowOff>
        </xdr:from>
        <xdr:to>
          <xdr:col>13</xdr:col>
          <xdr:colOff>236220</xdr:colOff>
          <xdr:row>3</xdr:row>
          <xdr:rowOff>259080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Product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480060</xdr:colOff>
          <xdr:row>2</xdr:row>
          <xdr:rowOff>114300</xdr:rowOff>
        </xdr:from>
        <xdr:to>
          <xdr:col>14</xdr:col>
          <xdr:colOff>769620</xdr:colOff>
          <xdr:row>3</xdr:row>
          <xdr:rowOff>251460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Supplier Price Per Unit (smallest to biggest)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472440</xdr:colOff>
      <xdr:row>40</xdr:row>
      <xdr:rowOff>49530</xdr:rowOff>
    </xdr:from>
    <xdr:to>
      <xdr:col>19</xdr:col>
      <xdr:colOff>198120</xdr:colOff>
      <xdr:row>54</xdr:row>
      <xdr:rowOff>179070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1051560</xdr:colOff>
      <xdr:row>40</xdr:row>
      <xdr:rowOff>49530</xdr:rowOff>
    </xdr:from>
    <xdr:to>
      <xdr:col>13</xdr:col>
      <xdr:colOff>1249680</xdr:colOff>
      <xdr:row>54</xdr:row>
      <xdr:rowOff>179070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487680</xdr:colOff>
      <xdr:row>24</xdr:row>
      <xdr:rowOff>118110</xdr:rowOff>
    </xdr:from>
    <xdr:to>
      <xdr:col>19</xdr:col>
      <xdr:colOff>213360</xdr:colOff>
      <xdr:row>39</xdr:row>
      <xdr:rowOff>19050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2</xdr:row>
          <xdr:rowOff>129540</xdr:rowOff>
        </xdr:from>
        <xdr:to>
          <xdr:col>16</xdr:col>
          <xdr:colOff>1036320</xdr:colOff>
          <xdr:row>3</xdr:row>
          <xdr:rowOff>266700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number of units per crate (smallest to biggest)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62"/>
  <sheetViews>
    <sheetView showGridLines="0" tabSelected="1" zoomScale="115" zoomScaleNormal="115" workbookViewId="0"/>
  </sheetViews>
  <sheetFormatPr defaultRowHeight="14.4" x14ac:dyDescent="0.3"/>
  <cols>
    <col min="1" max="1" width="15.6640625" customWidth="1"/>
    <col min="2" max="2" width="11.109375" customWidth="1"/>
    <col min="3" max="3" width="17" style="1" customWidth="1"/>
    <col min="4" max="4" width="19.44140625" customWidth="1"/>
    <col min="5" max="5" width="20.109375" customWidth="1"/>
    <col min="6" max="7" width="12.88671875" style="21" customWidth="1"/>
    <col min="8" max="8" width="10.6640625" customWidth="1"/>
    <col min="9" max="9" width="10.5546875" customWidth="1"/>
    <col min="10" max="10" width="17.109375" customWidth="1"/>
    <col min="11" max="11" width="14" customWidth="1"/>
    <col min="12" max="12" width="15.33203125" customWidth="1"/>
    <col min="13" max="13" width="17.33203125" customWidth="1"/>
    <col min="14" max="14" width="18.33203125" customWidth="1"/>
    <col min="15" max="15" width="15.5546875" customWidth="1"/>
    <col min="16" max="16" width="14.5546875" customWidth="1"/>
    <col min="17" max="17" width="17.5546875" customWidth="1"/>
    <col min="18" max="18" width="4.44140625" customWidth="1"/>
    <col min="19" max="19" width="18.5546875" customWidth="1"/>
    <col min="20" max="20" width="15" customWidth="1"/>
    <col min="21" max="21" width="13.6640625" customWidth="1"/>
    <col min="22" max="22" width="14.44140625" customWidth="1"/>
    <col min="23" max="30" width="10.6640625" customWidth="1"/>
  </cols>
  <sheetData>
    <row r="1" spans="1:28" ht="18.600000000000001" thickBot="1" x14ac:dyDescent="0.4">
      <c r="B1" s="11" t="s">
        <v>49</v>
      </c>
    </row>
    <row r="2" spans="1:28" ht="18.600000000000001" thickBot="1" x14ac:dyDescent="0.4">
      <c r="B2" s="11"/>
      <c r="J2" s="92" t="s">
        <v>37</v>
      </c>
      <c r="K2" s="93"/>
    </row>
    <row r="3" spans="1:28" ht="26.25" customHeight="1" x14ac:dyDescent="0.3">
      <c r="B3" s="19" t="s">
        <v>30</v>
      </c>
      <c r="F3" s="21" t="s">
        <v>0</v>
      </c>
      <c r="I3" s="1"/>
      <c r="J3" s="45"/>
      <c r="K3" s="46"/>
      <c r="L3" s="47"/>
      <c r="M3" s="48"/>
      <c r="N3" s="46"/>
      <c r="O3" s="49"/>
    </row>
    <row r="4" spans="1:28" ht="36" customHeight="1" thickBot="1" x14ac:dyDescent="0.35">
      <c r="A4" s="57" t="s">
        <v>38</v>
      </c>
      <c r="B4" s="22" t="s">
        <v>2</v>
      </c>
      <c r="C4" s="22" t="s">
        <v>29</v>
      </c>
      <c r="D4" s="22" t="s">
        <v>27</v>
      </c>
      <c r="E4" s="22" t="s">
        <v>3</v>
      </c>
      <c r="F4" s="9" t="s">
        <v>33</v>
      </c>
      <c r="G4" s="9" t="s">
        <v>28</v>
      </c>
      <c r="J4" s="50"/>
      <c r="K4" s="51"/>
      <c r="L4" s="52"/>
      <c r="M4" s="53"/>
      <c r="N4" s="53"/>
      <c r="O4" s="54"/>
    </row>
    <row r="5" spans="1:28" x14ac:dyDescent="0.3">
      <c r="A5" s="58">
        <v>43892</v>
      </c>
      <c r="B5" s="10" t="s">
        <v>4</v>
      </c>
      <c r="C5" s="24">
        <f t="shared" ref="C5:C36" si="0">VLOOKUP(B5,$I$7:$Q$17,3,0)</f>
        <v>9</v>
      </c>
      <c r="D5" s="29">
        <f t="shared" ref="D5:D36" si="1">VLOOKUP(B5,$I$7:$Q$17,4,0)*C5</f>
        <v>45</v>
      </c>
      <c r="E5" s="27" t="s">
        <v>41</v>
      </c>
      <c r="F5" s="31">
        <f t="shared" ref="F5:F36" si="2">VLOOKUP(B5,$I$7:$Q$17,8,0)</f>
        <v>2.1416499999999998</v>
      </c>
      <c r="G5" s="31">
        <f t="shared" ref="G5:G36" si="3">(VLOOKUP(E5, $I$22:$K$25, 3, 0)%*F5)+F5</f>
        <v>2.3429650999999998</v>
      </c>
    </row>
    <row r="6" spans="1:28" ht="15" thickBot="1" x14ac:dyDescent="0.35">
      <c r="A6" s="58">
        <v>43893</v>
      </c>
      <c r="B6" s="10" t="s">
        <v>4</v>
      </c>
      <c r="C6" s="24">
        <f t="shared" si="0"/>
        <v>9</v>
      </c>
      <c r="D6" s="29">
        <f t="shared" si="1"/>
        <v>45</v>
      </c>
      <c r="E6" s="27" t="s">
        <v>41</v>
      </c>
      <c r="F6" s="31">
        <f t="shared" si="2"/>
        <v>2.1416499999999998</v>
      </c>
      <c r="G6" s="31">
        <f t="shared" si="3"/>
        <v>2.3429650999999998</v>
      </c>
      <c r="I6" s="4" t="s">
        <v>50</v>
      </c>
    </row>
    <row r="7" spans="1:28" ht="15" customHeight="1" x14ac:dyDescent="0.3">
      <c r="A7" s="58">
        <v>43896</v>
      </c>
      <c r="B7" s="10" t="s">
        <v>4</v>
      </c>
      <c r="C7" s="24">
        <f t="shared" si="0"/>
        <v>9</v>
      </c>
      <c r="D7" s="29">
        <f t="shared" si="1"/>
        <v>45</v>
      </c>
      <c r="E7" s="27" t="s">
        <v>41</v>
      </c>
      <c r="F7" s="31">
        <f t="shared" si="2"/>
        <v>2.1416499999999998</v>
      </c>
      <c r="G7" s="31">
        <f t="shared" si="3"/>
        <v>2.3429650999999998</v>
      </c>
      <c r="I7" s="110" t="s">
        <v>2</v>
      </c>
      <c r="J7" s="112" t="s">
        <v>5</v>
      </c>
      <c r="K7" s="114" t="s">
        <v>22</v>
      </c>
      <c r="L7" s="118" t="s">
        <v>14</v>
      </c>
      <c r="M7" s="116" t="s">
        <v>23</v>
      </c>
      <c r="N7" s="116" t="s">
        <v>26</v>
      </c>
      <c r="O7" s="116" t="s">
        <v>32</v>
      </c>
      <c r="P7" s="120" t="s">
        <v>33</v>
      </c>
      <c r="Q7" s="128" t="s">
        <v>34</v>
      </c>
      <c r="R7" s="4"/>
      <c r="S7" s="4"/>
      <c r="T7" s="94"/>
      <c r="U7" s="94"/>
    </row>
    <row r="8" spans="1:28" ht="15" thickBot="1" x14ac:dyDescent="0.35">
      <c r="A8" s="58">
        <v>43892</v>
      </c>
      <c r="B8" s="10" t="s">
        <v>4</v>
      </c>
      <c r="C8" s="24">
        <f t="shared" si="0"/>
        <v>9</v>
      </c>
      <c r="D8" s="29">
        <f t="shared" si="1"/>
        <v>45</v>
      </c>
      <c r="E8" s="27" t="s">
        <v>39</v>
      </c>
      <c r="F8" s="31">
        <f t="shared" si="2"/>
        <v>2.1416499999999998</v>
      </c>
      <c r="G8" s="31">
        <f t="shared" si="3"/>
        <v>2.3686648999999997</v>
      </c>
      <c r="I8" s="111"/>
      <c r="J8" s="113"/>
      <c r="K8" s="115"/>
      <c r="L8" s="119"/>
      <c r="M8" s="117"/>
      <c r="N8" s="117"/>
      <c r="O8" s="117"/>
      <c r="P8" s="121"/>
      <c r="Q8" s="129"/>
      <c r="R8" s="5"/>
      <c r="S8" s="8" t="s">
        <v>51</v>
      </c>
    </row>
    <row r="9" spans="1:28" ht="15" customHeight="1" x14ac:dyDescent="0.3">
      <c r="A9" s="58">
        <v>43893</v>
      </c>
      <c r="B9" s="10" t="s">
        <v>4</v>
      </c>
      <c r="C9" s="24">
        <f t="shared" si="0"/>
        <v>9</v>
      </c>
      <c r="D9" s="29">
        <f t="shared" si="1"/>
        <v>45</v>
      </c>
      <c r="E9" s="27" t="s">
        <v>39</v>
      </c>
      <c r="F9" s="31">
        <f t="shared" si="2"/>
        <v>2.1416499999999998</v>
      </c>
      <c r="G9" s="31">
        <f t="shared" si="3"/>
        <v>2.3686648999999997</v>
      </c>
      <c r="I9" s="36" t="s">
        <v>4</v>
      </c>
      <c r="J9" s="10" t="s">
        <v>6</v>
      </c>
      <c r="K9" s="10">
        <v>9</v>
      </c>
      <c r="L9" s="82">
        <v>5</v>
      </c>
      <c r="M9" s="83">
        <v>2.0299999999999998</v>
      </c>
      <c r="N9" s="32">
        <f>COUNTIF($B$5:$B$54,$I9)</f>
        <v>13</v>
      </c>
      <c r="O9" s="23">
        <v>5.5</v>
      </c>
      <c r="P9" s="35">
        <f>(M9)+(M9*O9%)</f>
        <v>2.1416499999999998</v>
      </c>
      <c r="Q9" s="43">
        <f>(P9*K9)</f>
        <v>19.274849999999997</v>
      </c>
      <c r="R9" s="13"/>
      <c r="S9" s="126" t="s">
        <v>24</v>
      </c>
      <c r="T9" s="124" t="s">
        <v>46</v>
      </c>
      <c r="U9" s="124" t="s">
        <v>47</v>
      </c>
      <c r="V9" s="132" t="s">
        <v>48</v>
      </c>
    </row>
    <row r="10" spans="1:28" ht="15" thickBot="1" x14ac:dyDescent="0.35">
      <c r="A10" s="58">
        <v>43895</v>
      </c>
      <c r="B10" s="10" t="s">
        <v>4</v>
      </c>
      <c r="C10" s="24">
        <f t="shared" si="0"/>
        <v>9</v>
      </c>
      <c r="D10" s="29">
        <f t="shared" si="1"/>
        <v>45</v>
      </c>
      <c r="E10" s="27" t="s">
        <v>39</v>
      </c>
      <c r="F10" s="31">
        <f t="shared" si="2"/>
        <v>2.1416499999999998</v>
      </c>
      <c r="G10" s="31">
        <f t="shared" si="3"/>
        <v>2.3686648999999997</v>
      </c>
      <c r="I10" s="37" t="s">
        <v>7</v>
      </c>
      <c r="J10" s="10" t="s">
        <v>8</v>
      </c>
      <c r="K10" s="10">
        <v>9</v>
      </c>
      <c r="L10" s="82">
        <v>4</v>
      </c>
      <c r="M10" s="83">
        <v>2.4300000000000002</v>
      </c>
      <c r="N10" s="32">
        <f t="shared" ref="N10:N16" si="4">COUNTIF($B$5:$B$54,$I10)</f>
        <v>10</v>
      </c>
      <c r="O10" s="23">
        <v>5.5</v>
      </c>
      <c r="P10" s="35">
        <f t="shared" ref="P10:P16" si="5">(M10)+(M10*O10%)</f>
        <v>2.56365</v>
      </c>
      <c r="Q10" s="43">
        <f t="shared" ref="Q10:Q16" si="6">(P10*K10)</f>
        <v>23.072849999999999</v>
      </c>
      <c r="R10" s="13"/>
      <c r="S10" s="127"/>
      <c r="T10" s="125"/>
      <c r="U10" s="125"/>
      <c r="V10" s="133"/>
    </row>
    <row r="11" spans="1:28" ht="15" thickBot="1" x14ac:dyDescent="0.35">
      <c r="A11" s="58">
        <v>43897</v>
      </c>
      <c r="B11" s="10" t="s">
        <v>4</v>
      </c>
      <c r="C11" s="24">
        <f t="shared" si="0"/>
        <v>9</v>
      </c>
      <c r="D11" s="29">
        <f t="shared" si="1"/>
        <v>45</v>
      </c>
      <c r="E11" s="27" t="s">
        <v>39</v>
      </c>
      <c r="F11" s="31">
        <f t="shared" si="2"/>
        <v>2.1416499999999998</v>
      </c>
      <c r="G11" s="31">
        <f t="shared" si="3"/>
        <v>2.3686648999999997</v>
      </c>
      <c r="I11" s="37" t="s">
        <v>9</v>
      </c>
      <c r="J11" s="10" t="s">
        <v>10</v>
      </c>
      <c r="K11" s="10">
        <v>9</v>
      </c>
      <c r="L11" s="82">
        <v>3</v>
      </c>
      <c r="M11" s="83">
        <v>3.77</v>
      </c>
      <c r="N11" s="32">
        <f t="shared" si="4"/>
        <v>5</v>
      </c>
      <c r="O11" s="23">
        <v>8</v>
      </c>
      <c r="P11" s="35">
        <f t="shared" si="5"/>
        <v>4.0716000000000001</v>
      </c>
      <c r="Q11" s="43">
        <f t="shared" si="6"/>
        <v>36.644400000000005</v>
      </c>
      <c r="R11" s="13"/>
      <c r="S11" s="84" t="s">
        <v>39</v>
      </c>
      <c r="T11" s="67">
        <v>15</v>
      </c>
      <c r="U11" s="68">
        <f>COUNTIF($E$5:$E$54,$S11)</f>
        <v>19</v>
      </c>
      <c r="V11" s="88">
        <f>(U11*$V$18%)+U11</f>
        <v>21.698</v>
      </c>
    </row>
    <row r="12" spans="1:28" ht="15" thickBot="1" x14ac:dyDescent="0.35">
      <c r="A12" s="58">
        <v>43898</v>
      </c>
      <c r="B12" s="10" t="s">
        <v>4</v>
      </c>
      <c r="C12" s="24">
        <f t="shared" si="0"/>
        <v>9</v>
      </c>
      <c r="D12" s="29">
        <f t="shared" si="1"/>
        <v>45</v>
      </c>
      <c r="E12" s="27" t="s">
        <v>39</v>
      </c>
      <c r="F12" s="31">
        <f t="shared" si="2"/>
        <v>2.1416499999999998</v>
      </c>
      <c r="G12" s="31">
        <f t="shared" si="3"/>
        <v>2.3686648999999997</v>
      </c>
      <c r="I12" s="37" t="s">
        <v>21</v>
      </c>
      <c r="J12" s="10" t="s">
        <v>11</v>
      </c>
      <c r="K12" s="10">
        <v>24</v>
      </c>
      <c r="L12" s="82">
        <v>0.5</v>
      </c>
      <c r="M12" s="83">
        <v>2.4500000000000002</v>
      </c>
      <c r="N12" s="32">
        <f t="shared" si="4"/>
        <v>9</v>
      </c>
      <c r="O12" s="23">
        <v>11.5</v>
      </c>
      <c r="P12" s="35">
        <f t="shared" si="5"/>
        <v>2.7317500000000003</v>
      </c>
      <c r="Q12" s="43">
        <f t="shared" si="6"/>
        <v>65.562000000000012</v>
      </c>
      <c r="R12" s="13"/>
      <c r="S12" s="85" t="s">
        <v>41</v>
      </c>
      <c r="T12" s="34">
        <v>10</v>
      </c>
      <c r="U12" s="24">
        <f>COUNTIF($E$5:$E$54,$S12)</f>
        <v>12</v>
      </c>
      <c r="V12" s="88">
        <f t="shared" ref="V12:V14" si="7">(U12*$V$18%)+U12</f>
        <v>13.704000000000001</v>
      </c>
    </row>
    <row r="13" spans="1:28" ht="15" thickBot="1" x14ac:dyDescent="0.35">
      <c r="A13" s="58">
        <v>43893</v>
      </c>
      <c r="B13" s="10" t="s">
        <v>4</v>
      </c>
      <c r="C13" s="24">
        <f t="shared" si="0"/>
        <v>9</v>
      </c>
      <c r="D13" s="29">
        <f t="shared" si="1"/>
        <v>45</v>
      </c>
      <c r="E13" s="27" t="s">
        <v>25</v>
      </c>
      <c r="F13" s="31">
        <f t="shared" si="2"/>
        <v>2.1416499999999998</v>
      </c>
      <c r="G13" s="31">
        <f t="shared" si="3"/>
        <v>2.3815147999999997</v>
      </c>
      <c r="I13" s="37" t="s">
        <v>17</v>
      </c>
      <c r="J13" s="10" t="s">
        <v>18</v>
      </c>
      <c r="K13" s="10">
        <v>12</v>
      </c>
      <c r="L13" s="82">
        <v>3</v>
      </c>
      <c r="M13" s="83">
        <v>2.63</v>
      </c>
      <c r="N13" s="32">
        <f t="shared" si="4"/>
        <v>4</v>
      </c>
      <c r="O13" s="23">
        <v>9</v>
      </c>
      <c r="P13" s="35">
        <f t="shared" si="5"/>
        <v>2.8666999999999998</v>
      </c>
      <c r="Q13" s="43">
        <f t="shared" si="6"/>
        <v>34.400399999999998</v>
      </c>
      <c r="R13" s="13"/>
      <c r="S13" s="86" t="s">
        <v>25</v>
      </c>
      <c r="T13" s="34">
        <v>11</v>
      </c>
      <c r="U13" s="24">
        <f t="shared" ref="U13:U14" si="8">COUNTIF($E$5:$E$54,$S13)</f>
        <v>13</v>
      </c>
      <c r="V13" s="88">
        <f t="shared" si="7"/>
        <v>14.846</v>
      </c>
    </row>
    <row r="14" spans="1:28" x14ac:dyDescent="0.3">
      <c r="A14" s="58">
        <v>43894</v>
      </c>
      <c r="B14" s="10" t="s">
        <v>4</v>
      </c>
      <c r="C14" s="24">
        <f t="shared" si="0"/>
        <v>9</v>
      </c>
      <c r="D14" s="29">
        <f t="shared" si="1"/>
        <v>45</v>
      </c>
      <c r="E14" s="56" t="s">
        <v>25</v>
      </c>
      <c r="F14" s="31">
        <f t="shared" si="2"/>
        <v>2.1416499999999998</v>
      </c>
      <c r="G14" s="31">
        <f t="shared" si="3"/>
        <v>2.3815147999999997</v>
      </c>
      <c r="I14" s="37" t="s">
        <v>20</v>
      </c>
      <c r="J14" s="10" t="s">
        <v>19</v>
      </c>
      <c r="K14" s="10">
        <v>12</v>
      </c>
      <c r="L14" s="82">
        <v>1.5</v>
      </c>
      <c r="M14" s="83">
        <v>1.97</v>
      </c>
      <c r="N14" s="32">
        <f t="shared" si="4"/>
        <v>4</v>
      </c>
      <c r="O14" s="23">
        <v>12</v>
      </c>
      <c r="P14" s="35">
        <f t="shared" si="5"/>
        <v>2.2063999999999999</v>
      </c>
      <c r="Q14" s="43">
        <f t="shared" si="6"/>
        <v>26.476799999999997</v>
      </c>
      <c r="R14" s="13"/>
      <c r="S14" s="86" t="s">
        <v>40</v>
      </c>
      <c r="T14" s="34">
        <v>5</v>
      </c>
      <c r="U14" s="24">
        <f t="shared" si="8"/>
        <v>6</v>
      </c>
      <c r="V14" s="88">
        <f t="shared" si="7"/>
        <v>6.8520000000000003</v>
      </c>
    </row>
    <row r="15" spans="1:28" ht="15" thickBot="1" x14ac:dyDescent="0.35">
      <c r="A15" s="58">
        <v>43896</v>
      </c>
      <c r="B15" s="10" t="s">
        <v>4</v>
      </c>
      <c r="C15" s="24">
        <f t="shared" si="0"/>
        <v>9</v>
      </c>
      <c r="D15" s="29">
        <f t="shared" si="1"/>
        <v>45</v>
      </c>
      <c r="E15" s="27" t="s">
        <v>25</v>
      </c>
      <c r="F15" s="31">
        <f t="shared" si="2"/>
        <v>2.1416499999999998</v>
      </c>
      <c r="G15" s="31">
        <f t="shared" si="3"/>
        <v>2.3815147999999997</v>
      </c>
      <c r="I15" s="37" t="s">
        <v>12</v>
      </c>
      <c r="J15" s="10" t="s">
        <v>13</v>
      </c>
      <c r="K15" s="10">
        <v>18</v>
      </c>
      <c r="L15" s="82">
        <v>1.5</v>
      </c>
      <c r="M15" s="83">
        <v>2.98</v>
      </c>
      <c r="N15" s="32">
        <f t="shared" si="4"/>
        <v>3</v>
      </c>
      <c r="O15" s="23">
        <v>16</v>
      </c>
      <c r="P15" s="35">
        <f t="shared" si="5"/>
        <v>3.4567999999999999</v>
      </c>
      <c r="Q15" s="43">
        <f t="shared" si="6"/>
        <v>62.2224</v>
      </c>
      <c r="R15" s="13"/>
      <c r="S15" s="69" t="s">
        <v>1</v>
      </c>
      <c r="T15" s="70">
        <f>SUM(T11:T14)</f>
        <v>41</v>
      </c>
      <c r="U15" s="71">
        <f>SUM(U11:U14)</f>
        <v>50</v>
      </c>
      <c r="V15" s="89">
        <f>SUM(V11:V14)</f>
        <v>57.100000000000009</v>
      </c>
      <c r="W15" s="25"/>
      <c r="X15" s="25"/>
      <c r="Y15" s="25"/>
      <c r="Z15" s="25"/>
      <c r="AA15" s="25"/>
      <c r="AB15" s="25"/>
    </row>
    <row r="16" spans="1:28" x14ac:dyDescent="0.3">
      <c r="A16" s="58">
        <v>43894</v>
      </c>
      <c r="B16" s="10" t="s">
        <v>4</v>
      </c>
      <c r="C16" s="24">
        <f t="shared" si="0"/>
        <v>9</v>
      </c>
      <c r="D16" s="29">
        <f t="shared" si="1"/>
        <v>45</v>
      </c>
      <c r="E16" s="55" t="s">
        <v>40</v>
      </c>
      <c r="F16" s="31">
        <f t="shared" si="2"/>
        <v>2.1416499999999998</v>
      </c>
      <c r="G16" s="31">
        <f t="shared" si="3"/>
        <v>2.5164387499999998</v>
      </c>
      <c r="I16" s="37" t="s">
        <v>15</v>
      </c>
      <c r="J16" s="10" t="s">
        <v>16</v>
      </c>
      <c r="K16" s="10">
        <v>18</v>
      </c>
      <c r="L16" s="82">
        <v>0.75</v>
      </c>
      <c r="M16" s="83">
        <v>3.66</v>
      </c>
      <c r="N16" s="32">
        <f t="shared" si="4"/>
        <v>2</v>
      </c>
      <c r="O16" s="23">
        <v>19.5</v>
      </c>
      <c r="P16" s="35">
        <f t="shared" si="5"/>
        <v>4.3737000000000004</v>
      </c>
      <c r="Q16" s="43">
        <f t="shared" si="6"/>
        <v>78.726600000000005</v>
      </c>
      <c r="R16" s="13"/>
      <c r="S16" s="12"/>
      <c r="T16" s="12"/>
      <c r="U16" s="16"/>
    </row>
    <row r="17" spans="1:22" ht="15" thickBot="1" x14ac:dyDescent="0.35">
      <c r="A17" s="58">
        <v>43897</v>
      </c>
      <c r="B17" s="10" t="s">
        <v>4</v>
      </c>
      <c r="C17" s="24">
        <f t="shared" si="0"/>
        <v>9</v>
      </c>
      <c r="D17" s="29">
        <f t="shared" si="1"/>
        <v>45</v>
      </c>
      <c r="E17" s="55" t="s">
        <v>40</v>
      </c>
      <c r="F17" s="31">
        <f t="shared" si="2"/>
        <v>2.1416499999999998</v>
      </c>
      <c r="G17" s="31">
        <f t="shared" si="3"/>
        <v>2.5164387499999998</v>
      </c>
      <c r="I17" s="38"/>
      <c r="J17" s="23"/>
      <c r="K17" s="23"/>
      <c r="L17" s="23"/>
      <c r="M17" s="23"/>
      <c r="N17" s="23"/>
      <c r="O17" s="23"/>
      <c r="P17" s="35"/>
      <c r="Q17" s="43"/>
      <c r="R17" s="13"/>
      <c r="S17" s="12"/>
      <c r="T17" s="12"/>
      <c r="U17" s="16"/>
    </row>
    <row r="18" spans="1:22" ht="15.75" customHeight="1" thickBot="1" x14ac:dyDescent="0.35">
      <c r="A18" s="58">
        <v>43894</v>
      </c>
      <c r="B18" s="10" t="s">
        <v>7</v>
      </c>
      <c r="C18" s="24">
        <f t="shared" si="0"/>
        <v>9</v>
      </c>
      <c r="D18" s="29">
        <f t="shared" si="1"/>
        <v>36</v>
      </c>
      <c r="E18" s="27" t="s">
        <v>41</v>
      </c>
      <c r="F18" s="31">
        <f t="shared" si="2"/>
        <v>2.56365</v>
      </c>
      <c r="G18" s="31">
        <f t="shared" si="3"/>
        <v>2.8046331000000002</v>
      </c>
      <c r="I18" s="39" t="s">
        <v>1</v>
      </c>
      <c r="J18" s="40"/>
      <c r="K18" s="40"/>
      <c r="L18" s="40"/>
      <c r="M18" s="41"/>
      <c r="N18" s="90"/>
      <c r="O18" s="90"/>
      <c r="P18" s="90"/>
      <c r="Q18" s="90"/>
      <c r="T18" s="130" t="s">
        <v>45</v>
      </c>
      <c r="U18" s="131"/>
      <c r="V18" s="87">
        <v>14.2</v>
      </c>
    </row>
    <row r="19" spans="1:22" x14ac:dyDescent="0.3">
      <c r="A19" s="58">
        <v>43895</v>
      </c>
      <c r="B19" s="10" t="s">
        <v>7</v>
      </c>
      <c r="C19" s="24">
        <f t="shared" si="0"/>
        <v>9</v>
      </c>
      <c r="D19" s="29">
        <f t="shared" si="1"/>
        <v>36</v>
      </c>
      <c r="E19" s="27" t="s">
        <v>41</v>
      </c>
      <c r="F19" s="31">
        <f t="shared" si="2"/>
        <v>2.56365</v>
      </c>
      <c r="G19" s="31">
        <f t="shared" si="3"/>
        <v>2.8046331000000002</v>
      </c>
      <c r="U19" s="72"/>
    </row>
    <row r="20" spans="1:22" ht="17.25" customHeight="1" x14ac:dyDescent="0.3">
      <c r="A20" s="58">
        <v>43898</v>
      </c>
      <c r="B20" s="10" t="s">
        <v>7</v>
      </c>
      <c r="C20" s="24">
        <f t="shared" si="0"/>
        <v>9</v>
      </c>
      <c r="D20" s="29">
        <f t="shared" si="1"/>
        <v>36</v>
      </c>
      <c r="E20" s="56" t="s">
        <v>41</v>
      </c>
      <c r="F20" s="31">
        <f t="shared" si="2"/>
        <v>2.56365</v>
      </c>
      <c r="G20" s="31">
        <f t="shared" si="3"/>
        <v>2.8046331000000002</v>
      </c>
      <c r="I20" s="122" t="s">
        <v>31</v>
      </c>
      <c r="J20" s="122"/>
      <c r="K20" s="134"/>
    </row>
    <row r="21" spans="1:22" ht="15.75" customHeight="1" x14ac:dyDescent="0.3">
      <c r="A21" s="58">
        <v>43892</v>
      </c>
      <c r="B21" s="10" t="s">
        <v>7</v>
      </c>
      <c r="C21" s="24">
        <f t="shared" si="0"/>
        <v>9</v>
      </c>
      <c r="D21" s="29">
        <f t="shared" si="1"/>
        <v>36</v>
      </c>
      <c r="E21" s="27" t="s">
        <v>39</v>
      </c>
      <c r="F21" s="31">
        <f t="shared" si="2"/>
        <v>2.56365</v>
      </c>
      <c r="G21" s="31">
        <f t="shared" si="3"/>
        <v>2.8353969000000001</v>
      </c>
      <c r="I21" s="122"/>
      <c r="J21" s="122"/>
      <c r="K21" s="135"/>
      <c r="O21" s="5"/>
      <c r="P21" s="5"/>
      <c r="Q21" s="5"/>
      <c r="R21" s="123"/>
      <c r="S21" s="17"/>
      <c r="T21" s="5"/>
      <c r="U21" s="123"/>
    </row>
    <row r="22" spans="1:22" ht="15.75" customHeight="1" x14ac:dyDescent="0.3">
      <c r="A22" s="58">
        <v>43893</v>
      </c>
      <c r="B22" s="10" t="s">
        <v>7</v>
      </c>
      <c r="C22" s="24">
        <f t="shared" si="0"/>
        <v>9</v>
      </c>
      <c r="D22" s="29">
        <f t="shared" si="1"/>
        <v>36</v>
      </c>
      <c r="E22" s="27" t="s">
        <v>39</v>
      </c>
      <c r="F22" s="31">
        <f t="shared" si="2"/>
        <v>2.56365</v>
      </c>
      <c r="G22" s="31">
        <f t="shared" si="3"/>
        <v>2.8353969000000001</v>
      </c>
      <c r="I22" s="73" t="s">
        <v>39</v>
      </c>
      <c r="J22" s="74"/>
      <c r="K22" s="75">
        <v>10.6</v>
      </c>
      <c r="N22" s="30"/>
      <c r="O22" s="5"/>
      <c r="P22" s="5"/>
      <c r="Q22" s="5"/>
      <c r="R22" s="123"/>
      <c r="S22" s="5"/>
      <c r="T22" s="5"/>
      <c r="U22" s="123"/>
    </row>
    <row r="23" spans="1:22" x14ac:dyDescent="0.3">
      <c r="A23" s="58">
        <v>43895</v>
      </c>
      <c r="B23" s="10" t="s">
        <v>7</v>
      </c>
      <c r="C23" s="24">
        <f t="shared" si="0"/>
        <v>9</v>
      </c>
      <c r="D23" s="29">
        <f t="shared" si="1"/>
        <v>36</v>
      </c>
      <c r="E23" s="27" t="s">
        <v>39</v>
      </c>
      <c r="F23" s="31">
        <f t="shared" si="2"/>
        <v>2.56365</v>
      </c>
      <c r="G23" s="31">
        <f t="shared" si="3"/>
        <v>2.8353969000000001</v>
      </c>
      <c r="I23" s="76" t="s">
        <v>41</v>
      </c>
      <c r="J23" s="77"/>
      <c r="K23" s="78">
        <v>9.4</v>
      </c>
      <c r="O23" s="18"/>
      <c r="P23" s="13"/>
      <c r="Q23" s="13"/>
      <c r="R23" s="12"/>
      <c r="S23" s="18"/>
      <c r="T23" s="13"/>
      <c r="U23" s="12"/>
    </row>
    <row r="24" spans="1:22" x14ac:dyDescent="0.3">
      <c r="A24" s="58">
        <v>43896</v>
      </c>
      <c r="B24" s="10" t="s">
        <v>7</v>
      </c>
      <c r="C24" s="24">
        <f t="shared" si="0"/>
        <v>9</v>
      </c>
      <c r="D24" s="29">
        <f t="shared" si="1"/>
        <v>36</v>
      </c>
      <c r="E24" s="27" t="s">
        <v>39</v>
      </c>
      <c r="F24" s="31">
        <f t="shared" si="2"/>
        <v>2.56365</v>
      </c>
      <c r="G24" s="31">
        <f t="shared" si="3"/>
        <v>2.8353969000000001</v>
      </c>
      <c r="I24" s="79" t="s">
        <v>25</v>
      </c>
      <c r="J24" s="80"/>
      <c r="K24" s="78">
        <v>11.2</v>
      </c>
      <c r="O24" s="18"/>
      <c r="P24" s="13"/>
      <c r="Q24" s="13"/>
      <c r="R24" s="12"/>
      <c r="S24" s="18"/>
      <c r="T24" s="13"/>
      <c r="U24" s="12"/>
    </row>
    <row r="25" spans="1:22" x14ac:dyDescent="0.3">
      <c r="A25" s="58">
        <v>43893</v>
      </c>
      <c r="B25" s="10" t="s">
        <v>7</v>
      </c>
      <c r="C25" s="24">
        <f t="shared" si="0"/>
        <v>9</v>
      </c>
      <c r="D25" s="29">
        <f t="shared" si="1"/>
        <v>36</v>
      </c>
      <c r="E25" s="27" t="s">
        <v>25</v>
      </c>
      <c r="F25" s="31">
        <f t="shared" si="2"/>
        <v>2.56365</v>
      </c>
      <c r="G25" s="31">
        <f t="shared" si="3"/>
        <v>2.8507788000000001</v>
      </c>
      <c r="I25" s="81" t="s">
        <v>40</v>
      </c>
      <c r="J25" s="81"/>
      <c r="K25" s="75">
        <v>17.5</v>
      </c>
      <c r="O25" s="18"/>
      <c r="P25" s="13"/>
      <c r="Q25" s="13"/>
      <c r="R25" s="12"/>
      <c r="S25" s="18"/>
      <c r="T25" s="13"/>
      <c r="U25" s="12"/>
    </row>
    <row r="26" spans="1:22" x14ac:dyDescent="0.3">
      <c r="A26" s="58">
        <v>43894</v>
      </c>
      <c r="B26" s="10" t="s">
        <v>7</v>
      </c>
      <c r="C26" s="24">
        <f t="shared" si="0"/>
        <v>9</v>
      </c>
      <c r="D26" s="29">
        <f t="shared" si="1"/>
        <v>36</v>
      </c>
      <c r="E26" s="27" t="s">
        <v>25</v>
      </c>
      <c r="F26" s="31">
        <f t="shared" si="2"/>
        <v>2.56365</v>
      </c>
      <c r="G26" s="31">
        <f t="shared" si="3"/>
        <v>2.8507788000000001</v>
      </c>
      <c r="O26" s="18"/>
      <c r="P26" s="14"/>
      <c r="Q26" s="14"/>
      <c r="R26" s="15"/>
      <c r="S26" s="18"/>
      <c r="T26" s="14"/>
      <c r="U26" s="15"/>
    </row>
    <row r="27" spans="1:22" ht="15" thickBot="1" x14ac:dyDescent="0.35">
      <c r="A27" s="58">
        <v>43893</v>
      </c>
      <c r="B27" s="10" t="s">
        <v>7</v>
      </c>
      <c r="C27" s="24">
        <f t="shared" si="0"/>
        <v>9</v>
      </c>
      <c r="D27" s="29">
        <f t="shared" si="1"/>
        <v>36</v>
      </c>
      <c r="E27" s="55" t="s">
        <v>40</v>
      </c>
      <c r="F27" s="31">
        <f t="shared" si="2"/>
        <v>2.56365</v>
      </c>
      <c r="G27" s="31">
        <f t="shared" si="3"/>
        <v>3.0122887499999997</v>
      </c>
      <c r="I27" s="33"/>
      <c r="J27" s="33"/>
      <c r="L27" s="44"/>
    </row>
    <row r="28" spans="1:22" ht="15" thickBot="1" x14ac:dyDescent="0.35">
      <c r="A28" s="58">
        <v>43898</v>
      </c>
      <c r="B28" s="10" t="s">
        <v>9</v>
      </c>
      <c r="C28" s="24">
        <f t="shared" si="0"/>
        <v>9</v>
      </c>
      <c r="D28" s="29">
        <f t="shared" si="1"/>
        <v>27</v>
      </c>
      <c r="E28" s="27" t="s">
        <v>41</v>
      </c>
      <c r="F28" s="31">
        <f t="shared" si="2"/>
        <v>4.0716000000000001</v>
      </c>
      <c r="G28" s="31">
        <f t="shared" si="3"/>
        <v>4.4543303999999999</v>
      </c>
      <c r="I28" s="95" t="s">
        <v>35</v>
      </c>
      <c r="J28" s="96"/>
      <c r="K28" s="96"/>
      <c r="L28" s="96"/>
      <c r="M28" s="96"/>
      <c r="N28" s="97"/>
    </row>
    <row r="29" spans="1:22" ht="15" customHeight="1" x14ac:dyDescent="0.3">
      <c r="A29" s="58">
        <v>43894</v>
      </c>
      <c r="B29" s="10" t="s">
        <v>9</v>
      </c>
      <c r="C29" s="24">
        <f t="shared" si="0"/>
        <v>9</v>
      </c>
      <c r="D29" s="29">
        <f t="shared" si="1"/>
        <v>27</v>
      </c>
      <c r="E29" s="27" t="s">
        <v>39</v>
      </c>
      <c r="F29" s="31">
        <f t="shared" si="2"/>
        <v>4.0716000000000001</v>
      </c>
      <c r="G29" s="31">
        <f t="shared" si="3"/>
        <v>4.5031895999999998</v>
      </c>
      <c r="I29" s="98" t="s">
        <v>2</v>
      </c>
      <c r="J29" s="100" t="s">
        <v>5</v>
      </c>
      <c r="K29" s="102" t="s">
        <v>36</v>
      </c>
      <c r="L29" s="104" t="s">
        <v>42</v>
      </c>
      <c r="M29" s="106" t="s">
        <v>43</v>
      </c>
      <c r="N29" s="108" t="s">
        <v>44</v>
      </c>
    </row>
    <row r="30" spans="1:22" ht="15" customHeight="1" x14ac:dyDescent="0.3">
      <c r="A30" s="58">
        <v>43898</v>
      </c>
      <c r="B30" s="10" t="s">
        <v>9</v>
      </c>
      <c r="C30" s="24">
        <f t="shared" si="0"/>
        <v>9</v>
      </c>
      <c r="D30" s="29">
        <f t="shared" si="1"/>
        <v>27</v>
      </c>
      <c r="E30" s="28" t="s">
        <v>39</v>
      </c>
      <c r="F30" s="31">
        <f t="shared" si="2"/>
        <v>4.0716000000000001</v>
      </c>
      <c r="G30" s="31">
        <f t="shared" si="3"/>
        <v>4.5031895999999998</v>
      </c>
      <c r="I30" s="99"/>
      <c r="J30" s="101"/>
      <c r="K30" s="103"/>
      <c r="L30" s="105"/>
      <c r="M30" s="107"/>
      <c r="N30" s="109"/>
    </row>
    <row r="31" spans="1:22" ht="15" customHeight="1" x14ac:dyDescent="0.3">
      <c r="A31" s="58">
        <v>43895</v>
      </c>
      <c r="B31" s="10" t="s">
        <v>9</v>
      </c>
      <c r="C31" s="24">
        <f t="shared" si="0"/>
        <v>9</v>
      </c>
      <c r="D31" s="29">
        <f t="shared" si="1"/>
        <v>27</v>
      </c>
      <c r="E31" s="27" t="s">
        <v>25</v>
      </c>
      <c r="F31" s="31">
        <f t="shared" si="2"/>
        <v>4.0716000000000001</v>
      </c>
      <c r="G31" s="31">
        <f t="shared" si="3"/>
        <v>4.5276192000000002</v>
      </c>
      <c r="I31" s="36" t="s">
        <v>4</v>
      </c>
      <c r="J31" s="10" t="s">
        <v>6</v>
      </c>
      <c r="K31" s="23">
        <v>0.95</v>
      </c>
      <c r="L31" s="59">
        <v>182.8125</v>
      </c>
      <c r="M31" s="63">
        <f ca="1">SUMIF($B$5:$D$54, I31, $D$5:$D$54)/K31</f>
        <v>615.78947368421052</v>
      </c>
      <c r="N31" s="64">
        <f ca="1">(M31*V18%)+M31</f>
        <v>703.23157894736846</v>
      </c>
      <c r="P31" s="60"/>
    </row>
    <row r="32" spans="1:22" ht="15" customHeight="1" x14ac:dyDescent="0.3">
      <c r="A32" s="58">
        <v>43897</v>
      </c>
      <c r="B32" s="10" t="s">
        <v>9</v>
      </c>
      <c r="C32" s="24">
        <f t="shared" si="0"/>
        <v>9</v>
      </c>
      <c r="D32" s="29">
        <f t="shared" si="1"/>
        <v>27</v>
      </c>
      <c r="E32" s="55" t="s">
        <v>40</v>
      </c>
      <c r="F32" s="31">
        <f t="shared" si="2"/>
        <v>4.0716000000000001</v>
      </c>
      <c r="G32" s="31">
        <f t="shared" si="3"/>
        <v>4.7841300000000002</v>
      </c>
      <c r="I32" s="37" t="s">
        <v>7</v>
      </c>
      <c r="J32" s="10" t="s">
        <v>8</v>
      </c>
      <c r="K32" s="23">
        <v>0.8</v>
      </c>
      <c r="L32" s="59">
        <v>140.625</v>
      </c>
      <c r="M32" s="63">
        <f t="shared" ref="M32:M38" ca="1" si="9">SUMIF($B$5:$D$54, I32, $D$5:$D$54)/K32</f>
        <v>450</v>
      </c>
      <c r="N32" s="64">
        <f t="shared" ref="N32:N38" ca="1" si="10">(M32*V19%)+M32</f>
        <v>450</v>
      </c>
    </row>
    <row r="33" spans="1:16" ht="15" customHeight="1" x14ac:dyDescent="0.3">
      <c r="A33" s="58">
        <v>43896</v>
      </c>
      <c r="B33" s="10" t="s">
        <v>20</v>
      </c>
      <c r="C33" s="24">
        <f t="shared" si="0"/>
        <v>12</v>
      </c>
      <c r="D33" s="29">
        <f t="shared" si="1"/>
        <v>18</v>
      </c>
      <c r="E33" s="27" t="s">
        <v>41</v>
      </c>
      <c r="F33" s="31">
        <f t="shared" si="2"/>
        <v>2.2063999999999999</v>
      </c>
      <c r="G33" s="31">
        <f t="shared" si="3"/>
        <v>2.4138015999999998</v>
      </c>
      <c r="I33" s="37" t="s">
        <v>9</v>
      </c>
      <c r="J33" s="10" t="s">
        <v>10</v>
      </c>
      <c r="K33" s="23">
        <v>0.95</v>
      </c>
      <c r="L33" s="59">
        <v>70.3125</v>
      </c>
      <c r="M33" s="63">
        <f t="shared" ca="1" si="9"/>
        <v>142.10526315789474</v>
      </c>
      <c r="N33" s="64">
        <f t="shared" ca="1" si="10"/>
        <v>142.10526315789474</v>
      </c>
      <c r="P33" s="60"/>
    </row>
    <row r="34" spans="1:16" ht="15" customHeight="1" x14ac:dyDescent="0.3">
      <c r="A34" s="58">
        <v>43893</v>
      </c>
      <c r="B34" s="10" t="s">
        <v>20</v>
      </c>
      <c r="C34" s="24">
        <f t="shared" si="0"/>
        <v>12</v>
      </c>
      <c r="D34" s="29">
        <f t="shared" si="1"/>
        <v>18</v>
      </c>
      <c r="E34" s="27" t="s">
        <v>39</v>
      </c>
      <c r="F34" s="31">
        <f t="shared" si="2"/>
        <v>2.2063999999999999</v>
      </c>
      <c r="G34" s="31">
        <f t="shared" si="3"/>
        <v>2.4402784</v>
      </c>
      <c r="I34" s="37" t="s">
        <v>21</v>
      </c>
      <c r="J34" s="10" t="s">
        <v>11</v>
      </c>
      <c r="K34" s="23">
        <v>0.9</v>
      </c>
      <c r="L34" s="59">
        <v>101.25</v>
      </c>
      <c r="M34" s="63">
        <f t="shared" ca="1" si="9"/>
        <v>120</v>
      </c>
      <c r="N34" s="64">
        <f t="shared" ca="1" si="10"/>
        <v>120</v>
      </c>
    </row>
    <row r="35" spans="1:16" ht="15" customHeight="1" x14ac:dyDescent="0.3">
      <c r="A35" s="58">
        <v>43892</v>
      </c>
      <c r="B35" s="10" t="s">
        <v>20</v>
      </c>
      <c r="C35" s="24">
        <f t="shared" si="0"/>
        <v>12</v>
      </c>
      <c r="D35" s="29">
        <f t="shared" si="1"/>
        <v>18</v>
      </c>
      <c r="E35" s="27" t="s">
        <v>25</v>
      </c>
      <c r="F35" s="31">
        <f t="shared" si="2"/>
        <v>2.2063999999999999</v>
      </c>
      <c r="G35" s="31">
        <f t="shared" si="3"/>
        <v>2.4535168000000001</v>
      </c>
      <c r="I35" s="37" t="s">
        <v>17</v>
      </c>
      <c r="J35" s="10" t="s">
        <v>18</v>
      </c>
      <c r="K35" s="23">
        <v>0.7</v>
      </c>
      <c r="L35" s="59">
        <v>37.5</v>
      </c>
      <c r="M35" s="63">
        <f t="shared" ca="1" si="9"/>
        <v>205.71428571428572</v>
      </c>
      <c r="N35" s="64">
        <f t="shared" ca="1" si="10"/>
        <v>205.71428571428572</v>
      </c>
    </row>
    <row r="36" spans="1:16" ht="15" customHeight="1" x14ac:dyDescent="0.3">
      <c r="A36" s="58">
        <v>43897</v>
      </c>
      <c r="B36" s="10" t="s">
        <v>20</v>
      </c>
      <c r="C36" s="24">
        <f t="shared" si="0"/>
        <v>12</v>
      </c>
      <c r="D36" s="29">
        <f t="shared" si="1"/>
        <v>18</v>
      </c>
      <c r="E36" s="55" t="s">
        <v>40</v>
      </c>
      <c r="F36" s="31">
        <f t="shared" si="2"/>
        <v>2.2063999999999999</v>
      </c>
      <c r="G36" s="31">
        <f t="shared" si="3"/>
        <v>2.5925199999999999</v>
      </c>
      <c r="I36" s="37" t="s">
        <v>20</v>
      </c>
      <c r="J36" s="10" t="s">
        <v>19</v>
      </c>
      <c r="K36" s="23">
        <v>0.5</v>
      </c>
      <c r="L36" s="59">
        <v>37.5</v>
      </c>
      <c r="M36" s="63">
        <f t="shared" ca="1" si="9"/>
        <v>144</v>
      </c>
      <c r="N36" s="64">
        <f t="shared" ca="1" si="10"/>
        <v>144</v>
      </c>
    </row>
    <row r="37" spans="1:16" ht="15" customHeight="1" x14ac:dyDescent="0.3">
      <c r="A37" s="58">
        <v>43894</v>
      </c>
      <c r="B37" s="10" t="s">
        <v>17</v>
      </c>
      <c r="C37" s="24">
        <f t="shared" ref="C37:C68" si="11">VLOOKUP(B37,$I$7:$Q$17,3,0)</f>
        <v>12</v>
      </c>
      <c r="D37" s="29">
        <f t="shared" ref="D37:D68" si="12">VLOOKUP(B37,$I$7:$Q$17,4,0)*C37</f>
        <v>36</v>
      </c>
      <c r="E37" s="27" t="s">
        <v>41</v>
      </c>
      <c r="F37" s="31">
        <f t="shared" ref="F37:F54" si="13">VLOOKUP(B37,$I$7:$Q$17,8,0)</f>
        <v>2.8666999999999998</v>
      </c>
      <c r="G37" s="31">
        <f t="shared" ref="G37:G68" si="14">(VLOOKUP(E37, $I$22:$K$25, 3, 0)%*F37)+F37</f>
        <v>3.1361697999999998</v>
      </c>
      <c r="I37" s="37" t="s">
        <v>12</v>
      </c>
      <c r="J37" s="10" t="s">
        <v>13</v>
      </c>
      <c r="K37" s="23">
        <v>0.6</v>
      </c>
      <c r="L37" s="59">
        <v>42.1875</v>
      </c>
      <c r="M37" s="63">
        <f t="shared" ca="1" si="9"/>
        <v>135</v>
      </c>
      <c r="N37" s="64">
        <f t="shared" ca="1" si="10"/>
        <v>135</v>
      </c>
    </row>
    <row r="38" spans="1:16" ht="15" customHeight="1" x14ac:dyDescent="0.3">
      <c r="A38" s="58">
        <v>43895</v>
      </c>
      <c r="B38" s="10" t="s">
        <v>17</v>
      </c>
      <c r="C38" s="24">
        <f t="shared" si="11"/>
        <v>12</v>
      </c>
      <c r="D38" s="29">
        <f t="shared" si="12"/>
        <v>36</v>
      </c>
      <c r="E38" s="27" t="s">
        <v>39</v>
      </c>
      <c r="F38" s="31">
        <f t="shared" si="13"/>
        <v>2.8666999999999998</v>
      </c>
      <c r="G38" s="31">
        <f t="shared" si="14"/>
        <v>3.1705701999999998</v>
      </c>
      <c r="I38" s="37" t="s">
        <v>15</v>
      </c>
      <c r="J38" s="10" t="s">
        <v>16</v>
      </c>
      <c r="K38" s="23">
        <v>0.75</v>
      </c>
      <c r="L38" s="59">
        <v>28.125</v>
      </c>
      <c r="M38" s="63">
        <f t="shared" ca="1" si="9"/>
        <v>36</v>
      </c>
      <c r="N38" s="64">
        <f t="shared" ca="1" si="10"/>
        <v>36</v>
      </c>
    </row>
    <row r="39" spans="1:16" ht="15" customHeight="1" thickBot="1" x14ac:dyDescent="0.35">
      <c r="A39" s="58">
        <v>43896</v>
      </c>
      <c r="B39" s="10" t="s">
        <v>17</v>
      </c>
      <c r="C39" s="24">
        <f t="shared" si="11"/>
        <v>12</v>
      </c>
      <c r="D39" s="29">
        <f t="shared" si="12"/>
        <v>36</v>
      </c>
      <c r="E39" s="27" t="s">
        <v>39</v>
      </c>
      <c r="F39" s="31">
        <f t="shared" si="13"/>
        <v>2.8666999999999998</v>
      </c>
      <c r="G39" s="31">
        <f t="shared" si="14"/>
        <v>3.1705701999999998</v>
      </c>
      <c r="I39" s="61"/>
      <c r="J39" s="62" t="s">
        <v>1</v>
      </c>
      <c r="K39" s="42"/>
      <c r="L39" s="65">
        <f>SUM(L31:L38)</f>
        <v>640.3125</v>
      </c>
      <c r="M39" s="65">
        <f ca="1">SUM(M31:M38)</f>
        <v>1848.609022556391</v>
      </c>
      <c r="N39" s="66">
        <f ca="1">SUM(N31:N38)</f>
        <v>1936.051127819549</v>
      </c>
    </row>
    <row r="40" spans="1:16" ht="15" customHeight="1" x14ac:dyDescent="0.3">
      <c r="A40" s="58">
        <v>43897</v>
      </c>
      <c r="B40" s="10" t="s">
        <v>17</v>
      </c>
      <c r="C40" s="24">
        <f t="shared" si="11"/>
        <v>12</v>
      </c>
      <c r="D40" s="29">
        <f t="shared" si="12"/>
        <v>36</v>
      </c>
      <c r="E40" s="27" t="s">
        <v>25</v>
      </c>
      <c r="F40" s="31">
        <f t="shared" si="13"/>
        <v>2.8666999999999998</v>
      </c>
      <c r="G40" s="31">
        <f t="shared" si="14"/>
        <v>3.1877703999999998</v>
      </c>
    </row>
    <row r="41" spans="1:16" ht="15" customHeight="1" x14ac:dyDescent="0.3">
      <c r="A41" s="58">
        <v>43892</v>
      </c>
      <c r="B41" s="10" t="s">
        <v>12</v>
      </c>
      <c r="C41" s="24">
        <f t="shared" si="11"/>
        <v>18</v>
      </c>
      <c r="D41" s="29">
        <f t="shared" si="12"/>
        <v>27</v>
      </c>
      <c r="E41" s="27" t="s">
        <v>39</v>
      </c>
      <c r="F41" s="31">
        <f t="shared" si="13"/>
        <v>3.4567999999999999</v>
      </c>
      <c r="G41" s="31">
        <f t="shared" si="14"/>
        <v>3.8232207999999996</v>
      </c>
    </row>
    <row r="42" spans="1:16" ht="15" customHeight="1" x14ac:dyDescent="0.3">
      <c r="A42" s="58">
        <v>43896</v>
      </c>
      <c r="B42" s="10" t="s">
        <v>12</v>
      </c>
      <c r="C42" s="24">
        <f t="shared" si="11"/>
        <v>18</v>
      </c>
      <c r="D42" s="29">
        <f t="shared" si="12"/>
        <v>27</v>
      </c>
      <c r="E42" s="27" t="s">
        <v>39</v>
      </c>
      <c r="F42" s="31">
        <f t="shared" si="13"/>
        <v>3.4567999999999999</v>
      </c>
      <c r="G42" s="31">
        <f t="shared" si="14"/>
        <v>3.8232207999999996</v>
      </c>
      <c r="M42" t="s">
        <v>0</v>
      </c>
    </row>
    <row r="43" spans="1:16" ht="15" customHeight="1" x14ac:dyDescent="0.3">
      <c r="A43" s="58">
        <v>43893</v>
      </c>
      <c r="B43" s="10" t="s">
        <v>12</v>
      </c>
      <c r="C43" s="24">
        <f t="shared" si="11"/>
        <v>18</v>
      </c>
      <c r="D43" s="29">
        <f t="shared" si="12"/>
        <v>27</v>
      </c>
      <c r="E43" s="56" t="s">
        <v>25</v>
      </c>
      <c r="F43" s="31">
        <f t="shared" si="13"/>
        <v>3.4567999999999999</v>
      </c>
      <c r="G43" s="31">
        <f t="shared" si="14"/>
        <v>3.8439615999999996</v>
      </c>
      <c r="M43" t="s">
        <v>0</v>
      </c>
    </row>
    <row r="44" spans="1:16" ht="15" customHeight="1" x14ac:dyDescent="0.3">
      <c r="A44" s="58">
        <v>43894</v>
      </c>
      <c r="B44" s="10" t="s">
        <v>15</v>
      </c>
      <c r="C44" s="24">
        <f t="shared" si="11"/>
        <v>18</v>
      </c>
      <c r="D44" s="29">
        <f t="shared" si="12"/>
        <v>13.5</v>
      </c>
      <c r="E44" s="27" t="s">
        <v>39</v>
      </c>
      <c r="F44" s="31">
        <f t="shared" si="13"/>
        <v>4.3737000000000004</v>
      </c>
      <c r="G44" s="31">
        <f t="shared" si="14"/>
        <v>4.8373122000000004</v>
      </c>
    </row>
    <row r="45" spans="1:16" ht="15" customHeight="1" x14ac:dyDescent="0.3">
      <c r="A45" s="58">
        <v>43897</v>
      </c>
      <c r="B45" s="10" t="s">
        <v>15</v>
      </c>
      <c r="C45" s="24">
        <f t="shared" si="11"/>
        <v>18</v>
      </c>
      <c r="D45" s="29">
        <f t="shared" si="12"/>
        <v>13.5</v>
      </c>
      <c r="E45" s="27" t="s">
        <v>25</v>
      </c>
      <c r="F45" s="31">
        <f t="shared" si="13"/>
        <v>4.3737000000000004</v>
      </c>
      <c r="G45" s="31">
        <f t="shared" si="14"/>
        <v>4.8635543999999999</v>
      </c>
    </row>
    <row r="46" spans="1:16" ht="15" customHeight="1" x14ac:dyDescent="0.3">
      <c r="A46" s="58">
        <v>43895</v>
      </c>
      <c r="B46" s="10" t="s">
        <v>21</v>
      </c>
      <c r="C46" s="24">
        <f t="shared" si="11"/>
        <v>24</v>
      </c>
      <c r="D46" s="29">
        <f t="shared" si="12"/>
        <v>12</v>
      </c>
      <c r="E46" s="56" t="s">
        <v>41</v>
      </c>
      <c r="F46" s="31">
        <f t="shared" si="13"/>
        <v>2.7317500000000003</v>
      </c>
      <c r="G46" s="31">
        <f t="shared" si="14"/>
        <v>2.9885345000000005</v>
      </c>
    </row>
    <row r="47" spans="1:16" ht="15" customHeight="1" x14ac:dyDescent="0.3">
      <c r="A47" s="58">
        <v>43895</v>
      </c>
      <c r="B47" s="10" t="s">
        <v>21</v>
      </c>
      <c r="C47" s="24">
        <f t="shared" si="11"/>
        <v>24</v>
      </c>
      <c r="D47" s="29">
        <f t="shared" si="12"/>
        <v>12</v>
      </c>
      <c r="E47" s="27" t="s">
        <v>41</v>
      </c>
      <c r="F47" s="31">
        <f t="shared" si="13"/>
        <v>2.7317500000000003</v>
      </c>
      <c r="G47" s="31">
        <f t="shared" si="14"/>
        <v>2.9885345000000005</v>
      </c>
      <c r="I47" s="5"/>
      <c r="J47" s="5"/>
      <c r="K47" s="5"/>
      <c r="L47" s="5"/>
      <c r="M47" s="5"/>
      <c r="N47" s="5"/>
    </row>
    <row r="48" spans="1:16" x14ac:dyDescent="0.3">
      <c r="A48" s="58">
        <v>43898</v>
      </c>
      <c r="B48" s="26" t="s">
        <v>21</v>
      </c>
      <c r="C48" s="24">
        <f t="shared" si="11"/>
        <v>24</v>
      </c>
      <c r="D48" s="29">
        <f t="shared" si="12"/>
        <v>12</v>
      </c>
      <c r="E48" s="91" t="s">
        <v>41</v>
      </c>
      <c r="F48" s="31">
        <f t="shared" si="13"/>
        <v>2.7317500000000003</v>
      </c>
      <c r="G48" s="31">
        <f t="shared" si="14"/>
        <v>2.9885345000000005</v>
      </c>
      <c r="I48" s="1"/>
      <c r="J48" s="1"/>
      <c r="K48" s="1"/>
      <c r="L48" s="1"/>
      <c r="M48" s="1"/>
      <c r="N48" s="1"/>
    </row>
    <row r="49" spans="1:18" x14ac:dyDescent="0.3">
      <c r="A49" s="58">
        <v>43892</v>
      </c>
      <c r="B49" s="10" t="s">
        <v>21</v>
      </c>
      <c r="C49" s="24">
        <f t="shared" si="11"/>
        <v>24</v>
      </c>
      <c r="D49" s="29">
        <f t="shared" si="12"/>
        <v>12</v>
      </c>
      <c r="E49" s="56" t="s">
        <v>39</v>
      </c>
      <c r="F49" s="31">
        <f t="shared" si="13"/>
        <v>2.7317500000000003</v>
      </c>
      <c r="G49" s="31">
        <f t="shared" si="14"/>
        <v>3.0213155000000005</v>
      </c>
      <c r="I49" s="1"/>
      <c r="J49" s="1"/>
      <c r="K49" s="1"/>
      <c r="L49" s="1"/>
      <c r="M49" s="1"/>
      <c r="N49" s="1"/>
    </row>
    <row r="50" spans="1:18" x14ac:dyDescent="0.3">
      <c r="A50" s="58">
        <v>43896</v>
      </c>
      <c r="B50" s="10" t="s">
        <v>21</v>
      </c>
      <c r="C50" s="24">
        <f t="shared" si="11"/>
        <v>24</v>
      </c>
      <c r="D50" s="29">
        <f t="shared" si="12"/>
        <v>12</v>
      </c>
      <c r="E50" s="27" t="s">
        <v>39</v>
      </c>
      <c r="F50" s="31">
        <f t="shared" si="13"/>
        <v>2.7317500000000003</v>
      </c>
      <c r="G50" s="31">
        <f t="shared" si="14"/>
        <v>3.0213155000000005</v>
      </c>
    </row>
    <row r="51" spans="1:18" x14ac:dyDescent="0.3">
      <c r="A51" s="58">
        <v>43895</v>
      </c>
      <c r="B51" s="10" t="s">
        <v>21</v>
      </c>
      <c r="C51" s="24">
        <f t="shared" si="11"/>
        <v>24</v>
      </c>
      <c r="D51" s="29">
        <f t="shared" si="12"/>
        <v>12</v>
      </c>
      <c r="E51" s="27" t="s">
        <v>25</v>
      </c>
      <c r="F51" s="31">
        <f t="shared" si="13"/>
        <v>2.7317500000000003</v>
      </c>
      <c r="G51" s="31">
        <f t="shared" si="14"/>
        <v>3.0377060000000005</v>
      </c>
      <c r="I51" s="2"/>
      <c r="J51" s="4"/>
    </row>
    <row r="52" spans="1:18" x14ac:dyDescent="0.3">
      <c r="A52" s="58">
        <v>43896</v>
      </c>
      <c r="B52" s="10" t="s">
        <v>21</v>
      </c>
      <c r="C52" s="24">
        <f t="shared" si="11"/>
        <v>24</v>
      </c>
      <c r="D52" s="29">
        <f t="shared" si="12"/>
        <v>12</v>
      </c>
      <c r="E52" s="27" t="s">
        <v>25</v>
      </c>
      <c r="F52" s="31">
        <f t="shared" si="13"/>
        <v>2.7317500000000003</v>
      </c>
      <c r="G52" s="31">
        <f t="shared" si="14"/>
        <v>3.0377060000000005</v>
      </c>
      <c r="I52" s="2"/>
      <c r="J52" s="6"/>
      <c r="P52" s="5"/>
      <c r="Q52" s="5"/>
      <c r="R52" s="5"/>
    </row>
    <row r="53" spans="1:18" x14ac:dyDescent="0.3">
      <c r="A53" s="58">
        <v>43898</v>
      </c>
      <c r="B53" s="10" t="s">
        <v>21</v>
      </c>
      <c r="C53" s="24">
        <f t="shared" si="11"/>
        <v>24</v>
      </c>
      <c r="D53" s="29">
        <f t="shared" si="12"/>
        <v>12</v>
      </c>
      <c r="E53" s="27" t="s">
        <v>25</v>
      </c>
      <c r="F53" s="31">
        <f t="shared" si="13"/>
        <v>2.7317500000000003</v>
      </c>
      <c r="G53" s="31">
        <f t="shared" si="14"/>
        <v>3.0377060000000005</v>
      </c>
      <c r="I53" s="2"/>
      <c r="J53" s="6"/>
      <c r="P53" s="1"/>
      <c r="Q53" s="1"/>
      <c r="R53" s="1"/>
    </row>
    <row r="54" spans="1:18" x14ac:dyDescent="0.3">
      <c r="A54" s="58">
        <v>43897</v>
      </c>
      <c r="B54" s="10" t="s">
        <v>21</v>
      </c>
      <c r="C54" s="24">
        <f t="shared" si="11"/>
        <v>24</v>
      </c>
      <c r="D54" s="29">
        <f t="shared" si="12"/>
        <v>12</v>
      </c>
      <c r="E54" s="55" t="s">
        <v>40</v>
      </c>
      <c r="F54" s="31">
        <f t="shared" si="13"/>
        <v>2.7317500000000003</v>
      </c>
      <c r="G54" s="31">
        <f t="shared" si="14"/>
        <v>3.2098062500000002</v>
      </c>
      <c r="I54" s="2"/>
      <c r="J54" s="2"/>
    </row>
    <row r="55" spans="1:18" x14ac:dyDescent="0.3">
      <c r="I55" s="2"/>
      <c r="J55" s="6"/>
    </row>
    <row r="56" spans="1:18" x14ac:dyDescent="0.3">
      <c r="D56" s="20"/>
      <c r="I56" s="2"/>
      <c r="J56" s="6"/>
    </row>
    <row r="57" spans="1:18" x14ac:dyDescent="0.3">
      <c r="I57" s="2"/>
      <c r="J57" s="2"/>
    </row>
    <row r="58" spans="1:18" x14ac:dyDescent="0.3">
      <c r="I58" s="2"/>
      <c r="J58" s="6"/>
    </row>
    <row r="59" spans="1:18" x14ac:dyDescent="0.3">
      <c r="I59" s="2"/>
      <c r="J59" s="2"/>
    </row>
    <row r="60" spans="1:18" x14ac:dyDescent="0.3">
      <c r="I60" s="3"/>
      <c r="J60" s="7"/>
    </row>
    <row r="61" spans="1:18" x14ac:dyDescent="0.3">
      <c r="I61" s="3"/>
      <c r="J61" s="7"/>
    </row>
    <row r="62" spans="1:18" x14ac:dyDescent="0.3">
      <c r="I62" s="3"/>
      <c r="J62" s="7"/>
    </row>
  </sheetData>
  <sortState xmlns:xlrd2="http://schemas.microsoft.com/office/spreadsheetml/2017/richdata2" ref="A5:G54">
    <sortCondition ref="C5:C54"/>
  </sortState>
  <mergeCells count="27">
    <mergeCell ref="N7:N8"/>
    <mergeCell ref="Q7:Q8"/>
    <mergeCell ref="T18:U18"/>
    <mergeCell ref="V9:V10"/>
    <mergeCell ref="K20:K21"/>
    <mergeCell ref="I20:J21"/>
    <mergeCell ref="R21:R22"/>
    <mergeCell ref="U21:U22"/>
    <mergeCell ref="T9:T10"/>
    <mergeCell ref="U9:U10"/>
    <mergeCell ref="S9:S10"/>
    <mergeCell ref="J2:K2"/>
    <mergeCell ref="T7:U7"/>
    <mergeCell ref="I28:N28"/>
    <mergeCell ref="I29:I30"/>
    <mergeCell ref="J29:J30"/>
    <mergeCell ref="K29:K30"/>
    <mergeCell ref="L29:L30"/>
    <mergeCell ref="M29:M30"/>
    <mergeCell ref="N29:N30"/>
    <mergeCell ref="I7:I8"/>
    <mergeCell ref="J7:J8"/>
    <mergeCell ref="K7:K8"/>
    <mergeCell ref="M7:M8"/>
    <mergeCell ref="L7:L8"/>
    <mergeCell ref="O7:O8"/>
    <mergeCell ref="P7:P8"/>
  </mergeCells>
  <pageMargins left="0.11811023622047245" right="0.11811023622047245" top="0.15748031496062992" bottom="0.15748031496062992" header="0" footer="0"/>
  <pageSetup paperSize="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Cust_sort">
                <anchor moveWithCells="1" sizeWithCells="1">
                  <from>
                    <xdr:col>9</xdr:col>
                    <xdr:colOff>266700</xdr:colOff>
                    <xdr:row>2</xdr:row>
                    <xdr:rowOff>121920</xdr:rowOff>
                  </from>
                  <to>
                    <xdr:col>10</xdr:col>
                    <xdr:colOff>533400</xdr:colOff>
                    <xdr:row>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Date_sort">
                <anchor moveWithCells="1" sizeWithCells="1">
                  <from>
                    <xdr:col>10</xdr:col>
                    <xdr:colOff>716280</xdr:colOff>
                    <xdr:row>2</xdr:row>
                    <xdr:rowOff>137160</xdr:rowOff>
                  </from>
                  <to>
                    <xdr:col>11</xdr:col>
                    <xdr:colOff>838200</xdr:colOff>
                    <xdr:row>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Product_sort">
                <anchor moveWithCells="1" sizeWithCells="1">
                  <from>
                    <xdr:col>12</xdr:col>
                    <xdr:colOff>106680</xdr:colOff>
                    <xdr:row>2</xdr:row>
                    <xdr:rowOff>121920</xdr:rowOff>
                  </from>
                  <to>
                    <xdr:col>13</xdr:col>
                    <xdr:colOff>236220</xdr:colOff>
                    <xdr:row>3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sort_by_supplier_price_per_unit">
                <anchor moveWithCells="1" sizeWithCells="1">
                  <from>
                    <xdr:col>13</xdr:col>
                    <xdr:colOff>480060</xdr:colOff>
                    <xdr:row>2</xdr:row>
                    <xdr:rowOff>114300</xdr:rowOff>
                  </from>
                  <to>
                    <xdr:col>14</xdr:col>
                    <xdr:colOff>769620</xdr:colOff>
                    <xdr:row>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" name="Button 25">
              <controlPr defaultSize="0" print="0" autoFill="0" autoPict="0" macro="[0]!sort_by_no_of_units_per_crate">
                <anchor moveWithCells="1" sizeWithCells="1">
                  <from>
                    <xdr:col>15</xdr:col>
                    <xdr:colOff>266700</xdr:colOff>
                    <xdr:row>2</xdr:row>
                    <xdr:rowOff>129540</xdr:rowOff>
                  </from>
                  <to>
                    <xdr:col>16</xdr:col>
                    <xdr:colOff>1036320</xdr:colOff>
                    <xdr:row>3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3C015DC0A47424BA807F2DF55952F58" ma:contentTypeVersion="9" ma:contentTypeDescription="Create a new document." ma:contentTypeScope="" ma:versionID="c4f4211f86c683c4f8dc873bb9749eb6">
  <xsd:schema xmlns:xsd="http://www.w3.org/2001/XMLSchema" xmlns:xs="http://www.w3.org/2001/XMLSchema" xmlns:p="http://schemas.microsoft.com/office/2006/metadata/properties" xmlns:ns2="fbd8fbec-1132-4e44-80b0-dff4198e235d" targetNamespace="http://schemas.microsoft.com/office/2006/metadata/properties" ma:root="true" ma:fieldsID="5dbdb734a07349a3b2414dbc25e5d6f4" ns2:_="">
    <xsd:import namespace="fbd8fbec-1132-4e44-80b0-dff4198e235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OCR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d8fbec-1132-4e44-80b0-dff4198e235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8313675-81A6-4789-B7BA-4ED691EC7A4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017B854-C4AD-404D-85BF-3573037D47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bd8fbec-1132-4e44-80b0-dff4198e235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633804F-173E-49A7-9A7A-3B4397A14224}">
  <ds:schemaRefs>
    <ds:schemaRef ds:uri="fbd8fbec-1132-4e44-80b0-dff4198e235d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terms/"/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Spiros</dc:creator>
  <cp:lastModifiedBy>Pro</cp:lastModifiedBy>
  <cp:lastPrinted>2015-02-03T00:57:07Z</cp:lastPrinted>
  <dcterms:created xsi:type="dcterms:W3CDTF">2015-01-31T22:19:26Z</dcterms:created>
  <dcterms:modified xsi:type="dcterms:W3CDTF">2022-03-27T16:06:24Z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0x010100D3C015DC0A47424BA807F2DF55952F58</vt:lpwstr>
  </property>
</Properties>
</file>